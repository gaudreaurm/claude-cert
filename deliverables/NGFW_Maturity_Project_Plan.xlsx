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roject Plan" sheetId="2" state="visible" r:id="rId2"/>
    <sheet name="Deliverables" sheetId="3" state="visible" r:id="rId3"/>
    <sheet name="Milestones" sheetId="4" state="visible" r:id="rId4"/>
    <sheet name="RACI" sheetId="5" state="visible" r:id="rId5"/>
    <sheet name="Risks &amp; Issues" sheetId="6" state="visible" r:id="rId6"/>
    <sheet name="Inputs" sheetId="7" state="visible" r:id="rId7"/>
  </sheets>
  <definedNames>
    <definedName name="_xlnm.Print_Titles" localSheetId="1">'Project Plan'!$4:$4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mm d, yyyy"/>
    <numFmt numFmtId="166" formatCode="ddd mmm d, yyyy"/>
    <numFmt numFmtId="167" formatCode="m/d"/>
    <numFmt numFmtId="168" formatCode="mmm d"/>
    <numFmt numFmtId="169" formatCode="0;[Red]-0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</font>
    <font>
      <name val="Arial"/>
      <i val="1"/>
      <sz val="9"/>
    </font>
    <font>
      <name val="Arial"/>
      <i val="1"/>
      <sz val="10"/>
    </font>
    <font>
      <name val="Arial"/>
      <b val="1"/>
      <color rgb="00FFFFFF"/>
      <sz val="10"/>
    </font>
    <font>
      <name val="Arial"/>
      <b val="1"/>
      <sz val="9"/>
    </font>
    <font>
      <name val="Arial"/>
      <b val="1"/>
      <color rgb="000000FF"/>
      <sz val="10"/>
    </font>
    <font>
      <name val="Arial"/>
      <sz val="9"/>
    </font>
    <font>
      <name val="Arial"/>
      <color rgb="00008000"/>
      <sz val="10"/>
    </font>
    <font>
      <name val="Arial"/>
      <b val="1"/>
      <color rgb="001F3864"/>
      <sz val="16"/>
    </font>
    <font>
      <name val="Arial"/>
      <b val="1"/>
      <color rgb="00008000"/>
      <sz val="10"/>
    </font>
    <font>
      <name val="Arial"/>
      <b val="1"/>
      <color rgb="001F3864"/>
      <sz val="12"/>
    </font>
  </fonts>
  <fills count="1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5B9BD5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C00000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3" fillId="0" borderId="0" pivotButton="0" quotePrefix="0" xfId="0"/>
    <xf numFmtId="0" fontId="7" fillId="0" borderId="0" pivotButton="0" quotePrefix="0" xfId="0"/>
    <xf numFmtId="0" fontId="2" fillId="2" borderId="1" applyAlignment="1" pivotButton="0" quotePrefix="0" xfId="0">
      <alignment horizontal="left" vertical="center"/>
    </xf>
    <xf numFmtId="165" fontId="14" fillId="0" borderId="1" applyAlignment="1" pivotButton="0" quotePrefix="0" xfId="0">
      <alignment horizontal="center" vertical="center"/>
    </xf>
    <xf numFmtId="1" fontId="14" fillId="0" borderId="1" applyAlignment="1" pivotButton="0" quotePrefix="0" xfId="0">
      <alignment horizontal="center" vertical="center"/>
    </xf>
    <xf numFmtId="9" fontId="14" fillId="0" borderId="1" applyAlignment="1" pivotButton="0" quotePrefix="0" xfId="0">
      <alignment horizontal="center" vertical="center"/>
    </xf>
    <xf numFmtId="0" fontId="15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/>
    </xf>
    <xf numFmtId="168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9" fontId="12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1" fillId="0" borderId="0" pivotButton="0" quotePrefix="0" xfId="0"/>
    <xf numFmtId="0" fontId="9" fillId="0" borderId="0" pivotButton="0" quotePrefix="0" xfId="0"/>
    <xf numFmtId="167" fontId="8" fillId="4" borderId="1" applyAlignment="1" pivotButton="0" quotePrefix="0" xfId="0">
      <alignment horizontal="center" vertical="center" textRotation="90"/>
    </xf>
    <xf numFmtId="0" fontId="2" fillId="2" borderId="1" applyAlignment="1" pivotButton="0" quotePrefix="0" xfId="0">
      <alignment horizontal="center" vertical="center"/>
    </xf>
    <xf numFmtId="168" fontId="2" fillId="2" borderId="1" applyAlignment="1" pivotButton="0" quotePrefix="0" xfId="0">
      <alignment horizontal="center" vertical="center"/>
    </xf>
    <xf numFmtId="9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 indent="1"/>
    </xf>
    <xf numFmtId="0" fontId="3" fillId="0" borderId="1" applyAlignment="1" pivotButton="0" quotePrefix="0" xfId="0">
      <alignment horizontal="center" vertical="center"/>
    </xf>
    <xf numFmtId="168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horizontal="center" vertical="center"/>
    </xf>
    <xf numFmtId="168" fontId="10" fillId="0" borderId="1" applyAlignment="1" pivotButton="0" quotePrefix="0" xfId="0">
      <alignment horizontal="center" vertical="center"/>
    </xf>
    <xf numFmtId="9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vertical="center" wrapText="1" indent="1"/>
    </xf>
    <xf numFmtId="0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165" fontId="8" fillId="4" borderId="1" applyAlignment="1" pivotButton="0" quotePrefix="0" xfId="0">
      <alignment horizontal="center" vertical="center"/>
    </xf>
    <xf numFmtId="9" fontId="8" fillId="4" borderId="1" applyAlignment="1" pivotButton="0" quotePrefix="0" xfId="0">
      <alignment horizontal="center" vertical="center"/>
    </xf>
    <xf numFmtId="0" fontId="11" fillId="0" borderId="0" pivotButton="0" quotePrefix="0" xfId="0"/>
    <xf numFmtId="0" fontId="0" fillId="4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6" fontId="1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5" fontId="3" fillId="3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left" vertical="center"/>
    </xf>
    <xf numFmtId="0" fontId="5" fillId="0" borderId="0" pivotButton="0" quotePrefix="0" xfId="0"/>
    <xf numFmtId="166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dxfs count="9">
    <dxf>
      <fill>
        <patternFill patternType="solid">
          <fgColor rgb="0070AD47"/>
        </patternFill>
      </fill>
    </dxf>
    <dxf>
      <fill>
        <patternFill patternType="solid">
          <fgColor rgb="00ED7D31"/>
        </patternFill>
      </fill>
    </dxf>
    <dxf>
      <fill>
        <patternFill patternType="solid">
          <fgColor rgb="001F3864"/>
        </patternFill>
      </fill>
    </dxf>
    <dxf>
      <fill>
        <patternFill patternType="solid">
          <fgColor rgb="005B9BD5"/>
        </patternFill>
      </fill>
    </dxf>
    <dxf>
      <fill>
        <patternFill patternType="solid">
          <fgColor rgb="00C00000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NGFW Maturity Engagement – Dashboard</t>
        </is>
      </c>
    </row>
    <row r="2">
      <c r="A2" s="2">
        <f>"Client: "&amp;Inputs!B3&amp;"   |   As of "&amp;TEXT(Inputs!B7,"mmm d, yyyy")</f>
        <v/>
      </c>
    </row>
    <row r="4">
      <c r="A4" s="3" t="inlineStr">
        <is>
          <t>Project Start</t>
        </is>
      </c>
      <c r="B4" s="4">
        <f>Inputs!B5</f>
        <v/>
      </c>
    </row>
    <row r="5">
      <c r="A5" s="3" t="inlineStr">
        <is>
          <t>Project End</t>
        </is>
      </c>
      <c r="B5" s="4">
        <f>Inputs!B6</f>
        <v/>
      </c>
    </row>
    <row r="6">
      <c r="A6" s="3" t="inlineStr">
        <is>
          <t>Total Working Days</t>
        </is>
      </c>
      <c r="B6" s="5">
        <f>NETWORKDAYS(Inputs!B5,Inputs!B6,Inputs!$A$16:$A$21)</f>
        <v/>
      </c>
    </row>
    <row r="7">
      <c r="A7" s="3" t="inlineStr">
        <is>
          <t>Working Days Elapsed</t>
        </is>
      </c>
      <c r="B7" s="5">
        <f>MAX(0,MIN(B6,NETWORKDAYS(Inputs!B5,Inputs!B7,Inputs!$A$16:$A$21)))</f>
        <v/>
      </c>
    </row>
    <row r="8">
      <c r="A8" s="3" t="inlineStr">
        <is>
          <t>Schedule Elapsed %</t>
        </is>
      </c>
      <c r="B8" s="6">
        <f>IFERROR(B7/B6,0)</f>
        <v/>
      </c>
    </row>
    <row r="9">
      <c r="A9" s="3" t="inlineStr">
        <is>
          <t>Overall % Complete</t>
        </is>
      </c>
      <c r="B9" s="6">
        <f>'Project Plan'!G51</f>
        <v/>
      </c>
    </row>
    <row r="10">
      <c r="A10" s="3" t="inlineStr">
        <is>
          <t>Tasks Late / Late Start</t>
        </is>
      </c>
      <c r="B10" s="5">
        <f>COUNTIF('Project Plan'!H5:H49,"Late")+COUNTIF('Project Plan'!H5:H49,"Late Start")</f>
        <v/>
      </c>
    </row>
    <row r="11">
      <c r="A11" s="3" t="inlineStr">
        <is>
          <t>Open High Risks</t>
        </is>
      </c>
      <c r="B11" s="5">
        <f>COUNTIFS('Risks &amp; Issues'!G4:G40,"High",'Risks &amp; Issues'!J4:J40,"Open")</f>
        <v/>
      </c>
    </row>
    <row r="13">
      <c r="A13" s="7" t="inlineStr">
        <is>
          <t>Phase Summary</t>
        </is>
      </c>
    </row>
    <row r="14">
      <c r="A14" s="8" t="inlineStr">
        <is>
          <t>Phase</t>
        </is>
      </c>
      <c r="B14" s="8" t="inlineStr">
        <is>
          <t>Start</t>
        </is>
      </c>
      <c r="C14" s="8" t="inlineStr">
        <is>
          <t>Finish</t>
        </is>
      </c>
      <c r="D14" s="8" t="inlineStr">
        <is>
          <t>Work Days</t>
        </is>
      </c>
      <c r="E14" s="8" t="inlineStr">
        <is>
          <t>% Complete</t>
        </is>
      </c>
      <c r="F14" s="8" t="inlineStr">
        <is>
          <t>Status</t>
        </is>
      </c>
    </row>
    <row r="15">
      <c r="A15" s="9">
        <f>'Project Plan'!B5</f>
        <v/>
      </c>
      <c r="B15" s="10">
        <f>'Project Plan'!D5</f>
        <v/>
      </c>
      <c r="C15" s="10">
        <f>'Project Plan'!E5</f>
        <v/>
      </c>
      <c r="D15" s="11">
        <f>'Project Plan'!F5</f>
        <v/>
      </c>
      <c r="E15" s="12">
        <f>'Project Plan'!G5</f>
        <v/>
      </c>
      <c r="F15" s="11">
        <f>'Project Plan'!H5</f>
        <v/>
      </c>
    </row>
    <row r="16">
      <c r="A16" s="9">
        <f>'Project Plan'!B10</f>
        <v/>
      </c>
      <c r="B16" s="10">
        <f>'Project Plan'!D10</f>
        <v/>
      </c>
      <c r="C16" s="10">
        <f>'Project Plan'!E10</f>
        <v/>
      </c>
      <c r="D16" s="11">
        <f>'Project Plan'!F10</f>
        <v/>
      </c>
      <c r="E16" s="12">
        <f>'Project Plan'!G10</f>
        <v/>
      </c>
      <c r="F16" s="11">
        <f>'Project Plan'!H10</f>
        <v/>
      </c>
    </row>
    <row r="17">
      <c r="A17" s="9">
        <f>'Project Plan'!B17</f>
        <v/>
      </c>
      <c r="B17" s="10">
        <f>'Project Plan'!D17</f>
        <v/>
      </c>
      <c r="C17" s="10">
        <f>'Project Plan'!E17</f>
        <v/>
      </c>
      <c r="D17" s="11">
        <f>'Project Plan'!F17</f>
        <v/>
      </c>
      <c r="E17" s="12">
        <f>'Project Plan'!G17</f>
        <v/>
      </c>
      <c r="F17" s="11">
        <f>'Project Plan'!H17</f>
        <v/>
      </c>
    </row>
    <row r="18">
      <c r="A18" s="9">
        <f>'Project Plan'!B23</f>
        <v/>
      </c>
      <c r="B18" s="10">
        <f>'Project Plan'!D23</f>
        <v/>
      </c>
      <c r="C18" s="10">
        <f>'Project Plan'!E23</f>
        <v/>
      </c>
      <c r="D18" s="11">
        <f>'Project Plan'!F23</f>
        <v/>
      </c>
      <c r="E18" s="12">
        <f>'Project Plan'!G23</f>
        <v/>
      </c>
      <c r="F18" s="11">
        <f>'Project Plan'!H23</f>
        <v/>
      </c>
    </row>
    <row r="19">
      <c r="A19" s="9">
        <f>'Project Plan'!B27</f>
        <v/>
      </c>
      <c r="B19" s="10">
        <f>'Project Plan'!D27</f>
        <v/>
      </c>
      <c r="C19" s="10">
        <f>'Project Plan'!E27</f>
        <v/>
      </c>
      <c r="D19" s="11">
        <f>'Project Plan'!F27</f>
        <v/>
      </c>
      <c r="E19" s="12">
        <f>'Project Plan'!G27</f>
        <v/>
      </c>
      <c r="F19" s="11">
        <f>'Project Plan'!H27</f>
        <v/>
      </c>
    </row>
    <row r="20">
      <c r="A20" s="9">
        <f>'Project Plan'!B31</f>
        <v/>
      </c>
      <c r="B20" s="10">
        <f>'Project Plan'!D31</f>
        <v/>
      </c>
      <c r="C20" s="10">
        <f>'Project Plan'!E31</f>
        <v/>
      </c>
      <c r="D20" s="11">
        <f>'Project Plan'!F31</f>
        <v/>
      </c>
      <c r="E20" s="12">
        <f>'Project Plan'!G31</f>
        <v/>
      </c>
      <c r="F20" s="11">
        <f>'Project Plan'!H31</f>
        <v/>
      </c>
    </row>
    <row r="21">
      <c r="A21" s="9">
        <f>'Project Plan'!B35</f>
        <v/>
      </c>
      <c r="B21" s="10">
        <f>'Project Plan'!D35</f>
        <v/>
      </c>
      <c r="C21" s="10">
        <f>'Project Plan'!E35</f>
        <v/>
      </c>
      <c r="D21" s="11">
        <f>'Project Plan'!F35</f>
        <v/>
      </c>
      <c r="E21" s="12">
        <f>'Project Plan'!G35</f>
        <v/>
      </c>
      <c r="F21" s="11">
        <f>'Project Plan'!H35</f>
        <v/>
      </c>
    </row>
    <row r="22">
      <c r="A22" s="9">
        <f>'Project Plan'!B44</f>
        <v/>
      </c>
      <c r="B22" s="10">
        <f>'Project Plan'!D44</f>
        <v/>
      </c>
      <c r="C22" s="10">
        <f>'Project Plan'!E44</f>
        <v/>
      </c>
      <c r="D22" s="11">
        <f>'Project Plan'!F44</f>
        <v/>
      </c>
      <c r="E22" s="12">
        <f>'Project Plan'!G44</f>
        <v/>
      </c>
      <c r="F22" s="11">
        <f>'Project Plan'!H44</f>
        <v/>
      </c>
    </row>
    <row r="24">
      <c r="A24" s="13" t="inlineStr">
        <is>
          <t>Methodology: Weeks 1–4 Discovery → Gaps → Future State → Roadmap &amp; Readout  |  Weeks 5–16 Remediation → Validation &amp; Closeout</t>
        </is>
      </c>
    </row>
  </sheetData>
  <conditionalFormatting sqref="E15:E22">
    <cfRule type="dataBar" priority="1">
      <dataBar>
        <cfvo type="num" val="0"/>
        <cfvo type="num" val="1"/>
        <color rgb="0063BE7B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60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2" customWidth="1" min="2" max="2"/>
    <col width="11" customWidth="1" min="3" max="3"/>
    <col width="9" customWidth="1" min="4" max="4"/>
    <col width="9" customWidth="1" min="5" max="5"/>
    <col width="7" customWidth="1" min="6" max="6"/>
    <col width="9" customWidth="1" min="7" max="7"/>
    <col width="11" customWidth="1" min="8" max="8"/>
    <col width="9" customWidth="1" min="9" max="9"/>
    <col width="30" customWidth="1" min="10" max="10"/>
    <col width="24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</cols>
  <sheetData>
    <row r="1">
      <c r="A1" s="14" t="inlineStr">
        <is>
          <t>NGFW Maturity Engagement – Project Plan</t>
        </is>
      </c>
    </row>
    <row r="2">
      <c r="A2" s="2">
        <f>"Client: "&amp;Inputs!B3&amp;"   |   "&amp;TEXT(Inputs!B5,"mmm d, yyyy")&amp;" – "&amp;TEXT(Inputs!B6,"mmm d, yyyy")&amp;"   |   As of: "&amp;TEXT(Inputs!B7,"mmm d, yyyy")</f>
        <v/>
      </c>
    </row>
    <row r="3">
      <c r="L3" s="15" t="inlineStr">
        <is>
          <t>Week of (Mon)</t>
        </is>
      </c>
    </row>
    <row r="4" ht="42" customHeight="1">
      <c r="A4" s="8" t="inlineStr">
        <is>
          <t>WBS</t>
        </is>
      </c>
      <c r="B4" s="8" t="inlineStr">
        <is>
          <t>Phase / Task</t>
        </is>
      </c>
      <c r="C4" s="8" t="inlineStr">
        <is>
          <t>Owner</t>
        </is>
      </c>
      <c r="D4" s="8" t="inlineStr">
        <is>
          <t>Start</t>
        </is>
      </c>
      <c r="E4" s="8" t="inlineStr">
        <is>
          <t>Finish</t>
        </is>
      </c>
      <c r="F4" s="8" t="inlineStr">
        <is>
          <t>Work Days</t>
        </is>
      </c>
      <c r="G4" s="8" t="inlineStr">
        <is>
          <t>% Complete</t>
        </is>
      </c>
      <c r="H4" s="8" t="inlineStr">
        <is>
          <t>Status</t>
        </is>
      </c>
      <c r="I4" s="8" t="inlineStr">
        <is>
          <t>Predecessor</t>
        </is>
      </c>
      <c r="J4" s="8" t="inlineStr">
        <is>
          <t>Deliverable / Output</t>
        </is>
      </c>
      <c r="K4" s="8" t="inlineStr">
        <is>
          <t>Notes</t>
        </is>
      </c>
      <c r="L4" s="16" t="n">
        <v>46279</v>
      </c>
      <c r="M4" s="16" t="n">
        <v>46286</v>
      </c>
      <c r="N4" s="16" t="n">
        <v>46293</v>
      </c>
      <c r="O4" s="16" t="n">
        <v>46300</v>
      </c>
      <c r="P4" s="16" t="n">
        <v>46307</v>
      </c>
      <c r="Q4" s="16" t="n">
        <v>46314</v>
      </c>
      <c r="R4" s="16" t="n">
        <v>46321</v>
      </c>
      <c r="S4" s="16" t="n">
        <v>46328</v>
      </c>
      <c r="T4" s="16" t="n">
        <v>46335</v>
      </c>
      <c r="U4" s="16" t="n">
        <v>46342</v>
      </c>
      <c r="V4" s="16" t="n">
        <v>46349</v>
      </c>
      <c r="W4" s="16" t="n">
        <v>46356</v>
      </c>
      <c r="X4" s="16" t="n">
        <v>46363</v>
      </c>
      <c r="Y4" s="16" t="n">
        <v>46370</v>
      </c>
      <c r="Z4" s="16" t="n">
        <v>46377</v>
      </c>
      <c r="AA4" s="16" t="n">
        <v>46384</v>
      </c>
    </row>
    <row r="5">
      <c r="A5" s="17" t="inlineStr">
        <is>
          <t>0</t>
        </is>
      </c>
      <c r="B5" s="3" t="inlineStr">
        <is>
          <t>Project Mobilization &amp; Governance</t>
        </is>
      </c>
      <c r="C5" s="17" t="inlineStr"/>
      <c r="D5" s="18">
        <f>MIN(D6:D9)</f>
        <v/>
      </c>
      <c r="E5" s="18">
        <f>MAX(E6:E9)</f>
        <v/>
      </c>
      <c r="F5" s="17">
        <f>NETWORKDAYS(D5,E5,Inputs!$A$16:$A$21)</f>
        <v/>
      </c>
      <c r="G5" s="19">
        <f>IFERROR(SUMPRODUCT(F6:F9,G6:G9)/SUM(F6:F9),0)</f>
        <v/>
      </c>
      <c r="H5" s="17">
        <f>IF(G5&gt;=1,"Complete",IF(G5&gt;0,"In Progress","Not Started"))</f>
        <v/>
      </c>
      <c r="I5" s="17" t="n"/>
      <c r="J5" s="3" t="n"/>
      <c r="K5" s="3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  <c r="AA5" s="20" t="n"/>
    </row>
    <row r="6">
      <c r="A6" s="21" t="inlineStr">
        <is>
          <t>0.1</t>
        </is>
      </c>
      <c r="B6" s="22" t="inlineStr">
        <is>
          <t>Contract / SOW confirmation &amp; resourcing</t>
        </is>
      </c>
      <c r="C6" s="23" t="inlineStr">
        <is>
          <t>Consultant</t>
        </is>
      </c>
      <c r="D6" s="24" t="n">
        <v>46279</v>
      </c>
      <c r="E6" s="24" t="n">
        <v>46280</v>
      </c>
      <c r="F6" s="21">
        <f>NETWORKDAYS(D6,E6,Inputs!$A$16:$A$21)</f>
        <v/>
      </c>
      <c r="G6" s="25" t="n">
        <v>1</v>
      </c>
      <c r="H6" s="21">
        <f>IF(G6&gt;=1,"Complete",IF(E6&lt;Inputs!$B$7,"Late",IF(G6&gt;0,"In Progress",IF(D6&lt;=Inputs!$B$7,"Late Start","Not Started"))))</f>
        <v/>
      </c>
      <c r="I6" s="23" t="inlineStr"/>
      <c r="J6" s="26" t="inlineStr">
        <is>
          <t>SOW baseline</t>
        </is>
      </c>
      <c r="K6" s="26" t="inlineStr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</row>
    <row r="7">
      <c r="A7" s="21" t="inlineStr">
        <is>
          <t>0.2</t>
        </is>
      </c>
      <c r="B7" s="22" t="inlineStr">
        <is>
          <t>Kickoff meeting &amp; stakeholder alignment</t>
        </is>
      </c>
      <c r="C7" s="23" t="inlineStr">
        <is>
          <t>Joint</t>
        </is>
      </c>
      <c r="D7" s="24" t="n">
        <v>46281</v>
      </c>
      <c r="E7" s="24" t="n">
        <v>46281</v>
      </c>
      <c r="F7" s="21">
        <f>NETWORKDAYS(D7,E7,Inputs!$A$16:$A$21)</f>
        <v/>
      </c>
      <c r="G7" s="25" t="n">
        <v>1</v>
      </c>
      <c r="H7" s="21">
        <f>IF(G7&gt;=1,"Complete",IF(E7&lt;Inputs!$B$7,"Late",IF(G7&gt;0,"In Progress",IF(D7&lt;=Inputs!$B$7,"Late Start","Not Started"))))</f>
        <v/>
      </c>
      <c r="I7" s="23" t="inlineStr">
        <is>
          <t>0.1</t>
        </is>
      </c>
      <c r="J7" s="26" t="inlineStr">
        <is>
          <t>Kickoff deck, stakeholder map</t>
        </is>
      </c>
      <c r="K7" s="26" t="inlineStr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</row>
    <row r="8">
      <c r="A8" s="21" t="inlineStr">
        <is>
          <t>0.3</t>
        </is>
      </c>
      <c r="B8" s="22" t="inlineStr">
        <is>
          <t>Data request &amp; access provisioning (configs, diagrams, tooling)</t>
        </is>
      </c>
      <c r="C8" s="23" t="inlineStr">
        <is>
          <t>Client</t>
        </is>
      </c>
      <c r="D8" s="24" t="n">
        <v>46281</v>
      </c>
      <c r="E8" s="24" t="n">
        <v>46283</v>
      </c>
      <c r="F8" s="21">
        <f>NETWORKDAYS(D8,E8,Inputs!$A$16:$A$21)</f>
        <v/>
      </c>
      <c r="G8" s="25" t="n">
        <v>1</v>
      </c>
      <c r="H8" s="21">
        <f>IF(G8&gt;=1,"Complete",IF(E8&lt;Inputs!$B$7,"Late",IF(G8&gt;0,"In Progress",IF(D8&lt;=Inputs!$B$7,"Late Start","Not Started"))))</f>
        <v/>
      </c>
      <c r="I8" s="23" t="inlineStr">
        <is>
          <t>0.2</t>
        </is>
      </c>
      <c r="J8" s="26" t="inlineStr">
        <is>
          <t>Data request tracker</t>
        </is>
      </c>
      <c r="K8" s="26" t="inlineStr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</row>
    <row r="9">
      <c r="A9" s="21" t="inlineStr">
        <is>
          <t>0.4</t>
        </is>
      </c>
      <c r="B9" s="22" t="inlineStr">
        <is>
          <t>Weekly status reporting &amp; steering committee (recurring)</t>
        </is>
      </c>
      <c r="C9" s="23" t="inlineStr">
        <is>
          <t>Consultant</t>
        </is>
      </c>
      <c r="D9" s="24" t="n">
        <v>46286</v>
      </c>
      <c r="E9" s="24" t="n">
        <v>46387</v>
      </c>
      <c r="F9" s="21">
        <f>NETWORKDAYS(D9,E9,Inputs!$A$16:$A$21)</f>
        <v/>
      </c>
      <c r="G9" s="25" t="n">
        <v>0.15</v>
      </c>
      <c r="H9" s="21">
        <f>IF(G9&gt;=1,"Complete",IF(E9&lt;Inputs!$B$7,"Late",IF(G9&gt;0,"In Progress",IF(D9&lt;=Inputs!$B$7,"Late Start","Not Started"))))</f>
        <v/>
      </c>
      <c r="I9" s="23" t="inlineStr">
        <is>
          <t>0.2</t>
        </is>
      </c>
      <c r="J9" s="26" t="inlineStr">
        <is>
          <t>Weekly status reports</t>
        </is>
      </c>
      <c r="K9" s="26" t="inlineStr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</row>
    <row r="10">
      <c r="A10" s="17" t="inlineStr">
        <is>
          <t>1</t>
        </is>
      </c>
      <c r="B10" s="3" t="inlineStr">
        <is>
          <t>Phase 1 – Discovery (Current State)</t>
        </is>
      </c>
      <c r="C10" s="17" t="inlineStr"/>
      <c r="D10" s="18">
        <f>MIN(D11:D16)</f>
        <v/>
      </c>
      <c r="E10" s="18">
        <f>MAX(E11:E16)</f>
        <v/>
      </c>
      <c r="F10" s="17">
        <f>NETWORKDAYS(D10,E10,Inputs!$A$16:$A$21)</f>
        <v/>
      </c>
      <c r="G10" s="19">
        <f>IFERROR(SUMPRODUCT(F11:F16,G11:G16)/SUM(F11:F16),0)</f>
        <v/>
      </c>
      <c r="H10" s="17">
        <f>IF(G10&gt;=1,"Complete",IF(G10&gt;0,"In Progress","Not Started"))</f>
        <v/>
      </c>
      <c r="I10" s="17" t="n"/>
      <c r="J10" s="3" t="n"/>
      <c r="K10" s="3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</row>
    <row r="11">
      <c r="A11" s="21" t="inlineStr">
        <is>
          <t>1.1</t>
        </is>
      </c>
      <c r="B11" s="22" t="inlineStr">
        <is>
          <t>Stakeholder interviews (NetSec, NetEng, SecOps, GRC, App owners)</t>
        </is>
      </c>
      <c r="C11" s="23" t="inlineStr">
        <is>
          <t>Consultant</t>
        </is>
      </c>
      <c r="D11" s="24" t="n">
        <v>46281</v>
      </c>
      <c r="E11" s="24" t="n">
        <v>46287</v>
      </c>
      <c r="F11" s="21">
        <f>NETWORKDAYS(D11,E11,Inputs!$A$16:$A$21)</f>
        <v/>
      </c>
      <c r="G11" s="25" t="n">
        <v>1</v>
      </c>
      <c r="H11" s="21">
        <f>IF(G11&gt;=1,"Complete",IF(E11&lt;Inputs!$B$7,"Late",IF(G11&gt;0,"In Progress",IF(D11&lt;=Inputs!$B$7,"Late Start","Not Started"))))</f>
        <v/>
      </c>
      <c r="I11" s="23" t="inlineStr">
        <is>
          <t>0.2</t>
        </is>
      </c>
      <c r="J11" s="26" t="inlineStr">
        <is>
          <t>Interview notes</t>
        </is>
      </c>
      <c r="K11" s="26" t="inlineStr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</row>
    <row r="12">
      <c r="A12" s="21" t="inlineStr">
        <is>
          <t>1.2</t>
        </is>
      </c>
      <c r="B12" s="22" t="inlineStr">
        <is>
          <t>Firewall inventory: platforms, versions, HA, licensing, EoL/EoS</t>
        </is>
      </c>
      <c r="C12" s="23" t="inlineStr">
        <is>
          <t>Joint</t>
        </is>
      </c>
      <c r="D12" s="24" t="n">
        <v>46281</v>
      </c>
      <c r="E12" s="24" t="n">
        <v>46287</v>
      </c>
      <c r="F12" s="21">
        <f>NETWORKDAYS(D12,E12,Inputs!$A$16:$A$21)</f>
        <v/>
      </c>
      <c r="G12" s="25" t="n">
        <v>1</v>
      </c>
      <c r="H12" s="21">
        <f>IF(G12&gt;=1,"Complete",IF(E12&lt;Inputs!$B$7,"Late",IF(G12&gt;0,"In Progress",IF(D12&lt;=Inputs!$B$7,"Late Start","Not Started"))))</f>
        <v/>
      </c>
      <c r="I12" s="23" t="inlineStr">
        <is>
          <t>0.3</t>
        </is>
      </c>
      <c r="J12" s="26" t="inlineStr">
        <is>
          <t>Asset inventory</t>
        </is>
      </c>
      <c r="K12" s="26" t="inlineStr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</row>
    <row r="13">
      <c r="A13" s="21" t="inlineStr">
        <is>
          <t>1.3</t>
        </is>
      </c>
      <c r="B13" s="22" t="inlineStr">
        <is>
          <t>Configuration &amp; rulebase collection / export</t>
        </is>
      </c>
      <c r="C13" s="23" t="inlineStr">
        <is>
          <t>Client</t>
        </is>
      </c>
      <c r="D13" s="24" t="n">
        <v>46281</v>
      </c>
      <c r="E13" s="24" t="n">
        <v>46286</v>
      </c>
      <c r="F13" s="21">
        <f>NETWORKDAYS(D13,E13,Inputs!$A$16:$A$21)</f>
        <v/>
      </c>
      <c r="G13" s="25" t="n">
        <v>1</v>
      </c>
      <c r="H13" s="21">
        <f>IF(G13&gt;=1,"Complete",IF(E13&lt;Inputs!$B$7,"Late",IF(G13&gt;0,"In Progress",IF(D13&lt;=Inputs!$B$7,"Late Start","Not Started"))))</f>
        <v/>
      </c>
      <c r="I13" s="23" t="inlineStr">
        <is>
          <t>0.3</t>
        </is>
      </c>
      <c r="J13" s="26" t="inlineStr">
        <is>
          <t>Config exports</t>
        </is>
      </c>
      <c r="K13" s="26" t="inlineStr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</row>
    <row r="14">
      <c r="A14" s="21" t="inlineStr">
        <is>
          <t>1.4</t>
        </is>
      </c>
      <c r="B14" s="22" t="inlineStr">
        <is>
          <t>Topology &amp; segmentation mapping (DC, campus, cloud, remote/SASE)</t>
        </is>
      </c>
      <c r="C14" s="23" t="inlineStr">
        <is>
          <t>Consultant</t>
        </is>
      </c>
      <c r="D14" s="24" t="n">
        <v>46286</v>
      </c>
      <c r="E14" s="24" t="n">
        <v>46289</v>
      </c>
      <c r="F14" s="21">
        <f>NETWORKDAYS(D14,E14,Inputs!$A$16:$A$21)</f>
        <v/>
      </c>
      <c r="G14" s="25" t="n">
        <v>1</v>
      </c>
      <c r="H14" s="21">
        <f>IF(G14&gt;=1,"Complete",IF(E14&lt;Inputs!$B$7,"Late",IF(G14&gt;0,"In Progress",IF(D14&lt;=Inputs!$B$7,"Late Start","Not Started"))))</f>
        <v/>
      </c>
      <c r="I14" s="23" t="inlineStr">
        <is>
          <t>1.2</t>
        </is>
      </c>
      <c r="J14" s="26" t="inlineStr">
        <is>
          <t>Draft topology</t>
        </is>
      </c>
      <c r="K14" s="26" t="inlineStr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</row>
    <row r="15">
      <c r="A15" s="21" t="inlineStr">
        <is>
          <t>1.5</t>
        </is>
      </c>
      <c r="B15" s="22" t="inlineStr">
        <is>
          <t>Operational process &amp; tooling review (change mgmt, SIEM, NAC, IdP)</t>
        </is>
      </c>
      <c r="C15" s="23" t="inlineStr">
        <is>
          <t>Consultant</t>
        </is>
      </c>
      <c r="D15" s="24" t="n">
        <v>46287</v>
      </c>
      <c r="E15" s="24" t="n">
        <v>46290</v>
      </c>
      <c r="F15" s="21">
        <f>NETWORKDAYS(D15,E15,Inputs!$A$16:$A$21)</f>
        <v/>
      </c>
      <c r="G15" s="25" t="n">
        <v>1</v>
      </c>
      <c r="H15" s="21">
        <f>IF(G15&gt;=1,"Complete",IF(E15&lt;Inputs!$B$7,"Late",IF(G15&gt;0,"In Progress",IF(D15&lt;=Inputs!$B$7,"Late Start","Not Started"))))</f>
        <v/>
      </c>
      <c r="I15" s="23" t="inlineStr">
        <is>
          <t>1.1</t>
        </is>
      </c>
      <c r="J15" s="26" t="inlineStr"/>
      <c r="K15" s="26" t="inlineStr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</row>
    <row r="16">
      <c r="A16" s="27" t="inlineStr">
        <is>
          <t>1.6</t>
        </is>
      </c>
      <c r="B16" s="28" t="inlineStr">
        <is>
          <t>DELIVERABLE: Firewall Estate Architecture (current state)</t>
        </is>
      </c>
      <c r="C16" s="29" t="inlineStr">
        <is>
          <t>Consultant</t>
        </is>
      </c>
      <c r="D16" s="30" t="n">
        <v>46289</v>
      </c>
      <c r="E16" s="30" t="n">
        <v>46294</v>
      </c>
      <c r="F16" s="27">
        <f>NETWORKDAYS(D16,E16,Inputs!$A$16:$A$21)</f>
        <v/>
      </c>
      <c r="G16" s="31" t="n">
        <v>0.7</v>
      </c>
      <c r="H16" s="27">
        <f>IF(G16&gt;=1,"Complete",IF(E16&lt;Inputs!$B$7,"Late",IF(G16&gt;0,"In Progress",IF(D16&lt;=Inputs!$B$7,"Late Start","Not Started"))))</f>
        <v/>
      </c>
      <c r="I16" s="29" t="inlineStr">
        <is>
          <t>1.4</t>
        </is>
      </c>
      <c r="J16" s="32" t="inlineStr">
        <is>
          <t>D1 – Firewall Estate Architecture</t>
        </is>
      </c>
      <c r="K16" s="32" t="inlineStr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</row>
    <row r="17">
      <c r="A17" s="17" t="inlineStr">
        <is>
          <t>2</t>
        </is>
      </c>
      <c r="B17" s="3" t="inlineStr">
        <is>
          <t>Phase 2 – Identify Pain Points, Issues &amp; Gaps</t>
        </is>
      </c>
      <c r="C17" s="17" t="inlineStr"/>
      <c r="D17" s="18">
        <f>MIN(D18:D22)</f>
        <v/>
      </c>
      <c r="E17" s="18">
        <f>MAX(E18:E22)</f>
        <v/>
      </c>
      <c r="F17" s="17">
        <f>NETWORKDAYS(D17,E17,Inputs!$A$16:$A$21)</f>
        <v/>
      </c>
      <c r="G17" s="19">
        <f>IFERROR(SUMPRODUCT(F18:F22,G18:G22)/SUM(F18:F22),0)</f>
        <v/>
      </c>
      <c r="H17" s="17">
        <f>IF(G17&gt;=1,"Complete",IF(G17&gt;0,"In Progress","Not Started"))</f>
        <v/>
      </c>
      <c r="I17" s="17" t="n"/>
      <c r="J17" s="3" t="n"/>
      <c r="K17" s="3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</row>
    <row r="18">
      <c r="A18" s="21" t="inlineStr">
        <is>
          <t>2.1</t>
        </is>
      </c>
      <c r="B18" s="22" t="inlineStr">
        <is>
          <t>Rulebase hygiene analysis (shadowed, unused, any/any, overly permissive)</t>
        </is>
      </c>
      <c r="C18" s="23" t="inlineStr">
        <is>
          <t>Consultant</t>
        </is>
      </c>
      <c r="D18" s="24" t="n">
        <v>46288</v>
      </c>
      <c r="E18" s="24" t="n">
        <v>46294</v>
      </c>
      <c r="F18" s="21">
        <f>NETWORKDAYS(D18,E18,Inputs!$A$16:$A$21)</f>
        <v/>
      </c>
      <c r="G18" s="25" t="n">
        <v>0.5</v>
      </c>
      <c r="H18" s="21">
        <f>IF(G18&gt;=1,"Complete",IF(E18&lt;Inputs!$B$7,"Late",IF(G18&gt;0,"In Progress",IF(D18&lt;=Inputs!$B$7,"Late Start","Not Started"))))</f>
        <v/>
      </c>
      <c r="I18" s="23" t="inlineStr">
        <is>
          <t>1.3</t>
        </is>
      </c>
      <c r="J18" s="26" t="inlineStr"/>
      <c r="K18" s="26" t="inlineStr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</row>
    <row r="19">
      <c r="A19" s="21" t="inlineStr">
        <is>
          <t>2.2</t>
        </is>
      </c>
      <c r="B19" s="22" t="inlineStr">
        <is>
          <t>NGFW feature utilization review (App-ID, User-ID, TLS decryption, IPS, URL, sandboxing)</t>
        </is>
      </c>
      <c r="C19" s="23" t="inlineStr">
        <is>
          <t>Consultant</t>
        </is>
      </c>
      <c r="D19" s="24" t="n">
        <v>46288</v>
      </c>
      <c r="E19" s="24" t="n">
        <v>46294</v>
      </c>
      <c r="F19" s="21">
        <f>NETWORKDAYS(D19,E19,Inputs!$A$16:$A$21)</f>
        <v/>
      </c>
      <c r="G19" s="25" t="n">
        <v>0.5</v>
      </c>
      <c r="H19" s="21">
        <f>IF(G19&gt;=1,"Complete",IF(E19&lt;Inputs!$B$7,"Late",IF(G19&gt;0,"In Progress",IF(D19&lt;=Inputs!$B$7,"Late Start","Not Started"))))</f>
        <v/>
      </c>
      <c r="I19" s="23" t="inlineStr">
        <is>
          <t>1.3</t>
        </is>
      </c>
      <c r="J19" s="26" t="inlineStr"/>
      <c r="K19" s="26" t="inlineStr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</row>
    <row r="20">
      <c r="A20" s="21" t="inlineStr">
        <is>
          <t>2.3</t>
        </is>
      </c>
      <c r="B20" s="22" t="inlineStr">
        <is>
          <t>Maturity scoring (NIST CSF / CIS / vendor best practice) &amp; lifecycle risk review</t>
        </is>
      </c>
      <c r="C20" s="23" t="inlineStr">
        <is>
          <t>Consultant</t>
        </is>
      </c>
      <c r="D20" s="24" t="n">
        <v>46293</v>
      </c>
      <c r="E20" s="24" t="n">
        <v>46296</v>
      </c>
      <c r="F20" s="21">
        <f>NETWORKDAYS(D20,E20,Inputs!$A$16:$A$21)</f>
        <v/>
      </c>
      <c r="G20" s="25" t="n">
        <v>0.1</v>
      </c>
      <c r="H20" s="21">
        <f>IF(G20&gt;=1,"Complete",IF(E20&lt;Inputs!$B$7,"Late",IF(G20&gt;0,"In Progress",IF(D20&lt;=Inputs!$B$7,"Late Start","Not Started"))))</f>
        <v/>
      </c>
      <c r="I20" s="23" t="inlineStr">
        <is>
          <t>1.6</t>
        </is>
      </c>
      <c r="J20" s="26" t="inlineStr">
        <is>
          <t>Maturity scorecard</t>
        </is>
      </c>
      <c r="K20" s="26" t="inlineStr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</row>
    <row r="21">
      <c r="A21" s="21" t="inlineStr">
        <is>
          <t>2.4</t>
        </is>
      </c>
      <c r="B21" s="22" t="inlineStr">
        <is>
          <t>Gap &amp; pain-point validation workshop</t>
        </is>
      </c>
      <c r="C21" s="23" t="inlineStr">
        <is>
          <t>Joint</t>
        </is>
      </c>
      <c r="D21" s="24" t="n">
        <v>46296</v>
      </c>
      <c r="E21" s="24" t="n">
        <v>46296</v>
      </c>
      <c r="F21" s="21">
        <f>NETWORKDAYS(D21,E21,Inputs!$A$16:$A$21)</f>
        <v/>
      </c>
      <c r="G21" s="25" t="n">
        <v>0</v>
      </c>
      <c r="H21" s="21">
        <f>IF(G21&gt;=1,"Complete",IF(E21&lt;Inputs!$B$7,"Late",IF(G21&gt;0,"In Progress",IF(D21&lt;=Inputs!$B$7,"Late Start","Not Started"))))</f>
        <v/>
      </c>
      <c r="I21" s="23" t="inlineStr">
        <is>
          <t>2.3</t>
        </is>
      </c>
      <c r="J21" s="26" t="inlineStr">
        <is>
          <t>Workshop output</t>
        </is>
      </c>
      <c r="K21" s="26" t="inlineStr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</row>
    <row r="22">
      <c r="A22" s="27" t="inlineStr">
        <is>
          <t>2.5</t>
        </is>
      </c>
      <c r="B22" s="28" t="inlineStr">
        <is>
          <t>DELIVERABLE: Problem Areas &amp; Gaps Assessment document</t>
        </is>
      </c>
      <c r="C22" s="29" t="inlineStr">
        <is>
          <t>Consultant</t>
        </is>
      </c>
      <c r="D22" s="30" t="n">
        <v>46295</v>
      </c>
      <c r="E22" s="30" t="n">
        <v>46297</v>
      </c>
      <c r="F22" s="27">
        <f>NETWORKDAYS(D22,E22,Inputs!$A$16:$A$21)</f>
        <v/>
      </c>
      <c r="G22" s="31" t="n">
        <v>0</v>
      </c>
      <c r="H22" s="27">
        <f>IF(G22&gt;=1,"Complete",IF(E22&lt;Inputs!$B$7,"Late",IF(G22&gt;0,"In Progress",IF(D22&lt;=Inputs!$B$7,"Late Start","Not Started"))))</f>
        <v/>
      </c>
      <c r="I22" s="29" t="inlineStr">
        <is>
          <t>2.4</t>
        </is>
      </c>
      <c r="J22" s="32" t="inlineStr">
        <is>
          <t>D2 – Gaps Assessment</t>
        </is>
      </c>
      <c r="K22" s="32" t="inlineStr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</row>
    <row r="23">
      <c r="A23" s="17" t="inlineStr">
        <is>
          <t>3</t>
        </is>
      </c>
      <c r="B23" s="3" t="inlineStr">
        <is>
          <t>Phase 3 – Define Future State Vision</t>
        </is>
      </c>
      <c r="C23" s="17" t="inlineStr"/>
      <c r="D23" s="18">
        <f>MIN(D24:D26)</f>
        <v/>
      </c>
      <c r="E23" s="18">
        <f>MAX(E24:E26)</f>
        <v/>
      </c>
      <c r="F23" s="17">
        <f>NETWORKDAYS(D23,E23,Inputs!$A$16:$A$21)</f>
        <v/>
      </c>
      <c r="G23" s="19">
        <f>IFERROR(SUMPRODUCT(F24:F26,G24:G26)/SUM(F24:F26),0)</f>
        <v/>
      </c>
      <c r="H23" s="17">
        <f>IF(G23&gt;=1,"Complete",IF(G23&gt;0,"In Progress","Not Started"))</f>
        <v/>
      </c>
      <c r="I23" s="17" t="n"/>
      <c r="J23" s="3" t="n"/>
      <c r="K23" s="3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</row>
    <row r="24">
      <c r="A24" s="21" t="inlineStr">
        <is>
          <t>3.1</t>
        </is>
      </c>
      <c r="B24" s="22" t="inlineStr">
        <is>
          <t>Requirements, guiding principles &amp; target architecture options</t>
        </is>
      </c>
      <c r="C24" s="23" t="inlineStr">
        <is>
          <t>Consultant</t>
        </is>
      </c>
      <c r="D24" s="24" t="n">
        <v>46295</v>
      </c>
      <c r="E24" s="24" t="n">
        <v>46297</v>
      </c>
      <c r="F24" s="21">
        <f>NETWORKDAYS(D24,E24,Inputs!$A$16:$A$21)</f>
        <v/>
      </c>
      <c r="G24" s="25" t="n">
        <v>0</v>
      </c>
      <c r="H24" s="21">
        <f>IF(G24&gt;=1,"Complete",IF(E24&lt;Inputs!$B$7,"Late",IF(G24&gt;0,"In Progress",IF(D24&lt;=Inputs!$B$7,"Late Start","Not Started"))))</f>
        <v/>
      </c>
      <c r="I24" s="23" t="inlineStr">
        <is>
          <t>2.4</t>
        </is>
      </c>
      <c r="J24" s="26" t="inlineStr">
        <is>
          <t>Options analysis</t>
        </is>
      </c>
      <c r="K24" s="26" t="inlineStr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</row>
    <row r="25">
      <c r="A25" s="21" t="inlineStr">
        <is>
          <t>3.2</t>
        </is>
      </c>
      <c r="B25" s="22" t="inlineStr">
        <is>
          <t>Future-state vision workshop &amp; option selection</t>
        </is>
      </c>
      <c r="C25" s="23" t="inlineStr">
        <is>
          <t>Joint</t>
        </is>
      </c>
      <c r="D25" s="24" t="n">
        <v>46300</v>
      </c>
      <c r="E25" s="24" t="n">
        <v>46300</v>
      </c>
      <c r="F25" s="21">
        <f>NETWORKDAYS(D25,E25,Inputs!$A$16:$A$21)</f>
        <v/>
      </c>
      <c r="G25" s="25" t="n">
        <v>0</v>
      </c>
      <c r="H25" s="21">
        <f>IF(G25&gt;=1,"Complete",IF(E25&lt;Inputs!$B$7,"Late",IF(G25&gt;0,"In Progress",IF(D25&lt;=Inputs!$B$7,"Late Start","Not Started"))))</f>
        <v/>
      </c>
      <c r="I25" s="23" t="inlineStr">
        <is>
          <t>3.1</t>
        </is>
      </c>
      <c r="J25" s="26" t="inlineStr">
        <is>
          <t>Decision log</t>
        </is>
      </c>
      <c r="K25" s="26" t="inlineStr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  <c r="AA25" s="20" t="n"/>
    </row>
    <row r="26">
      <c r="A26" s="21" t="inlineStr">
        <is>
          <t>3.3</t>
        </is>
      </c>
      <c r="B26" s="22" t="inlineStr">
        <is>
          <t>Future-state architecture, target operating model &amp; maturity targets</t>
        </is>
      </c>
      <c r="C26" s="23" t="inlineStr">
        <is>
          <t>Consultant</t>
        </is>
      </c>
      <c r="D26" s="24" t="n">
        <v>46300</v>
      </c>
      <c r="E26" s="24" t="n">
        <v>46301</v>
      </c>
      <c r="F26" s="21">
        <f>NETWORKDAYS(D26,E26,Inputs!$A$16:$A$21)</f>
        <v/>
      </c>
      <c r="G26" s="25" t="n">
        <v>0</v>
      </c>
      <c r="H26" s="21">
        <f>IF(G26&gt;=1,"Complete",IF(E26&lt;Inputs!$B$7,"Late",IF(G26&gt;0,"In Progress",IF(D26&lt;=Inputs!$B$7,"Late Start","Not Started"))))</f>
        <v/>
      </c>
      <c r="I26" s="23" t="inlineStr">
        <is>
          <t>3.2</t>
        </is>
      </c>
      <c r="J26" s="26" t="inlineStr">
        <is>
          <t>Future-state architecture</t>
        </is>
      </c>
      <c r="K26" s="26" t="inlineStr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</row>
    <row r="27">
      <c r="A27" s="17" t="inlineStr">
        <is>
          <t>4</t>
        </is>
      </c>
      <c r="B27" s="3" t="inlineStr">
        <is>
          <t>Phase 4 – Remediation Plan &amp; Modernization Roadmap</t>
        </is>
      </c>
      <c r="C27" s="17" t="inlineStr"/>
      <c r="D27" s="18">
        <f>MIN(D28:D30)</f>
        <v/>
      </c>
      <c r="E27" s="18">
        <f>MAX(E28:E30)</f>
        <v/>
      </c>
      <c r="F27" s="17">
        <f>NETWORKDAYS(D27,E27,Inputs!$A$16:$A$21)</f>
        <v/>
      </c>
      <c r="G27" s="19">
        <f>IFERROR(SUMPRODUCT(F28:F30,G28:G30)/SUM(F28:F30),0)</f>
        <v/>
      </c>
      <c r="H27" s="17">
        <f>IF(G27&gt;=1,"Complete",IF(G27&gt;0,"In Progress","Not Started"))</f>
        <v/>
      </c>
      <c r="I27" s="17" t="n"/>
      <c r="J27" s="3" t="n"/>
      <c r="K27" s="3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</row>
    <row r="28">
      <c r="A28" s="21" t="inlineStr">
        <is>
          <t>4.1</t>
        </is>
      </c>
      <c r="B28" s="22" t="inlineStr">
        <is>
          <t>Gap-to-initiative mapping, prioritization &amp; sequencing</t>
        </is>
      </c>
      <c r="C28" s="23" t="inlineStr">
        <is>
          <t>Joint</t>
        </is>
      </c>
      <c r="D28" s="24" t="n">
        <v>46300</v>
      </c>
      <c r="E28" s="24" t="n">
        <v>46302</v>
      </c>
      <c r="F28" s="21">
        <f>NETWORKDAYS(D28,E28,Inputs!$A$16:$A$21)</f>
        <v/>
      </c>
      <c r="G28" s="25" t="n">
        <v>0</v>
      </c>
      <c r="H28" s="21">
        <f>IF(G28&gt;=1,"Complete",IF(E28&lt;Inputs!$B$7,"Late",IF(G28&gt;0,"In Progress",IF(D28&lt;=Inputs!$B$7,"Late Start","Not Started"))))</f>
        <v/>
      </c>
      <c r="I28" s="23" t="inlineStr">
        <is>
          <t>3.2</t>
        </is>
      </c>
      <c r="J28" s="26" t="inlineStr">
        <is>
          <t>Prioritization matrix</t>
        </is>
      </c>
      <c r="K28" s="26" t="inlineStr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</row>
    <row r="29">
      <c r="A29" s="27" t="inlineStr">
        <is>
          <t>4.2</t>
        </is>
      </c>
      <c r="B29" s="28" t="inlineStr">
        <is>
          <t>DELIVERABLE: Modernization Roadmap (incl. remediation plan)</t>
        </is>
      </c>
      <c r="C29" s="29" t="inlineStr">
        <is>
          <t>Consultant</t>
        </is>
      </c>
      <c r="D29" s="30" t="n">
        <v>46302</v>
      </c>
      <c r="E29" s="30" t="n">
        <v>46303</v>
      </c>
      <c r="F29" s="27">
        <f>NETWORKDAYS(D29,E29,Inputs!$A$16:$A$21)</f>
        <v/>
      </c>
      <c r="G29" s="31" t="n">
        <v>0</v>
      </c>
      <c r="H29" s="27">
        <f>IF(G29&gt;=1,"Complete",IF(E29&lt;Inputs!$B$7,"Late",IF(G29&gt;0,"In Progress",IF(D29&lt;=Inputs!$B$7,"Late Start","Not Started"))))</f>
        <v/>
      </c>
      <c r="I29" s="29" t="inlineStr">
        <is>
          <t>4.1</t>
        </is>
      </c>
      <c r="J29" s="32" t="inlineStr">
        <is>
          <t>D3 – Modernization Roadmap</t>
        </is>
      </c>
      <c r="K29" s="32" t="inlineStr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</row>
    <row r="30">
      <c r="A30" s="27" t="inlineStr">
        <is>
          <t>4.3</t>
        </is>
      </c>
      <c r="B30" s="33" t="inlineStr">
        <is>
          <t>Milestone: Executive readout – D1, D2, D3 presented &amp; accepted</t>
        </is>
      </c>
      <c r="C30" s="29" t="inlineStr">
        <is>
          <t>Joint</t>
        </is>
      </c>
      <c r="D30" s="30" t="n">
        <v>46304</v>
      </c>
      <c r="E30" s="30" t="n">
        <v>46304</v>
      </c>
      <c r="F30" s="27">
        <f>NETWORKDAYS(D30,E30,Inputs!$A$16:$A$21)</f>
        <v/>
      </c>
      <c r="G30" s="31" t="n">
        <v>0</v>
      </c>
      <c r="H30" s="27">
        <f>IF(G30&gt;=1,"Complete",IF(E30&lt;Inputs!$B$7,"Late",IF(G30&gt;0,"In Progress",IF(D30&lt;=Inputs!$B$7,"Late Start","Not Started"))))</f>
        <v/>
      </c>
      <c r="I30" s="29" t="inlineStr">
        <is>
          <t>4.2</t>
        </is>
      </c>
      <c r="J30" s="32" t="inlineStr">
        <is>
          <t>Executive readout deck</t>
        </is>
      </c>
      <c r="K30" s="32" t="inlineStr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  <c r="AA30" s="20" t="n"/>
    </row>
    <row r="31">
      <c r="A31" s="17" t="inlineStr">
        <is>
          <t>5</t>
        </is>
      </c>
      <c r="B31" s="3" t="inlineStr">
        <is>
          <t>Phase 5 – Remediation Mobilization</t>
        </is>
      </c>
      <c r="C31" s="17" t="inlineStr"/>
      <c r="D31" s="18">
        <f>MIN(D32:D34)</f>
        <v/>
      </c>
      <c r="E31" s="18">
        <f>MAX(E32:E34)</f>
        <v/>
      </c>
      <c r="F31" s="17">
        <f>NETWORKDAYS(D31,E31,Inputs!$A$16:$A$21)</f>
        <v/>
      </c>
      <c r="G31" s="19">
        <f>IFERROR(SUMPRODUCT(F32:F34,G32:G34)/SUM(F32:F34),0)</f>
        <v/>
      </c>
      <c r="H31" s="17">
        <f>IF(G31&gt;=1,"Complete",IF(G31&gt;0,"In Progress","Not Started"))</f>
        <v/>
      </c>
      <c r="I31" s="17" t="n"/>
      <c r="J31" s="3" t="n"/>
      <c r="K31" s="3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</row>
    <row r="32">
      <c r="A32" s="21" t="inlineStr">
        <is>
          <t>5.1</t>
        </is>
      </c>
      <c r="B32" s="22" t="inlineStr">
        <is>
          <t>Detailed remediation work plan, change windows &amp; CAB scheduling</t>
        </is>
      </c>
      <c r="C32" s="23" t="inlineStr">
        <is>
          <t>Joint</t>
        </is>
      </c>
      <c r="D32" s="24" t="n">
        <v>46308</v>
      </c>
      <c r="E32" s="24" t="n">
        <v>46310</v>
      </c>
      <c r="F32" s="21">
        <f>NETWORKDAYS(D32,E32,Inputs!$A$16:$A$21)</f>
        <v/>
      </c>
      <c r="G32" s="25" t="n">
        <v>0</v>
      </c>
      <c r="H32" s="21">
        <f>IF(G32&gt;=1,"Complete",IF(E32&lt;Inputs!$B$7,"Late",IF(G32&gt;0,"In Progress",IF(D32&lt;=Inputs!$B$7,"Late Start","Not Started"))))</f>
        <v/>
      </c>
      <c r="I32" s="23" t="inlineStr">
        <is>
          <t>4.3</t>
        </is>
      </c>
      <c r="J32" s="26" t="inlineStr">
        <is>
          <t>D4 – Remediation Execution Plan</t>
        </is>
      </c>
      <c r="K32" s="26" t="inlineStr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</row>
    <row r="33">
      <c r="A33" s="21" t="inlineStr">
        <is>
          <t>5.2</t>
        </is>
      </c>
      <c r="B33" s="22" t="inlineStr">
        <is>
          <t>Config backups, rollback procedures &amp; test / validation plans</t>
        </is>
      </c>
      <c r="C33" s="23" t="inlineStr">
        <is>
          <t>Consultant</t>
        </is>
      </c>
      <c r="D33" s="24" t="n">
        <v>46308</v>
      </c>
      <c r="E33" s="24" t="n">
        <v>46311</v>
      </c>
      <c r="F33" s="21">
        <f>NETWORKDAYS(D33,E33,Inputs!$A$16:$A$21)</f>
        <v/>
      </c>
      <c r="G33" s="25" t="n">
        <v>0</v>
      </c>
      <c r="H33" s="21">
        <f>IF(G33&gt;=1,"Complete",IF(E33&lt;Inputs!$B$7,"Late",IF(G33&gt;0,"In Progress",IF(D33&lt;=Inputs!$B$7,"Late Start","Not Started"))))</f>
        <v/>
      </c>
      <c r="I33" s="23" t="inlineStr">
        <is>
          <t>4.3</t>
        </is>
      </c>
      <c r="J33" s="26" t="inlineStr">
        <is>
          <t>Rollback &amp; test plans</t>
        </is>
      </c>
      <c r="K33" s="26" t="inlineStr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</row>
    <row r="34">
      <c r="A34" s="27" t="inlineStr">
        <is>
          <t>5.3</t>
        </is>
      </c>
      <c r="B34" s="33" t="inlineStr">
        <is>
          <t>Milestone: Remediation go / no-go</t>
        </is>
      </c>
      <c r="C34" s="29" t="inlineStr">
        <is>
          <t>Joint</t>
        </is>
      </c>
      <c r="D34" s="30" t="n">
        <v>46311</v>
      </c>
      <c r="E34" s="30" t="n">
        <v>46311</v>
      </c>
      <c r="F34" s="27">
        <f>NETWORKDAYS(D34,E34,Inputs!$A$16:$A$21)</f>
        <v/>
      </c>
      <c r="G34" s="31" t="n">
        <v>0</v>
      </c>
      <c r="H34" s="27">
        <f>IF(G34&gt;=1,"Complete",IF(E34&lt;Inputs!$B$7,"Late",IF(G34&gt;0,"In Progress",IF(D34&lt;=Inputs!$B$7,"Late Start","Not Started"))))</f>
        <v/>
      </c>
      <c r="I34" s="29" t="inlineStr">
        <is>
          <t>5.1</t>
        </is>
      </c>
      <c r="J34" s="32" t="inlineStr"/>
      <c r="K34" s="32" t="inlineStr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</row>
    <row r="35">
      <c r="A35" s="17" t="inlineStr">
        <is>
          <t>6</t>
        </is>
      </c>
      <c r="B35" s="3" t="inlineStr">
        <is>
          <t>Phase 6 – Remediation Execution</t>
        </is>
      </c>
      <c r="C35" s="17" t="inlineStr"/>
      <c r="D35" s="18">
        <f>MIN(D36:D43)</f>
        <v/>
      </c>
      <c r="E35" s="18">
        <f>MAX(E36:E43)</f>
        <v/>
      </c>
      <c r="F35" s="17">
        <f>NETWORKDAYS(D35,E35,Inputs!$A$16:$A$21)</f>
        <v/>
      </c>
      <c r="G35" s="19">
        <f>IFERROR(SUMPRODUCT(F36:F43,G36:G43)/SUM(F36:F43),0)</f>
        <v/>
      </c>
      <c r="H35" s="17">
        <f>IF(G35&gt;=1,"Complete",IF(G35&gt;0,"In Progress","Not Started"))</f>
        <v/>
      </c>
      <c r="I35" s="17" t="n"/>
      <c r="J35" s="3" t="n"/>
      <c r="K35" s="3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</row>
    <row r="36">
      <c r="A36" s="21" t="inlineStr">
        <is>
          <t>6.1</t>
        </is>
      </c>
      <c r="B36" s="22" t="inlineStr">
        <is>
          <t>Quick wins: rulebase cleanup (unused, shadowed, any/any, redundant objects)</t>
        </is>
      </c>
      <c r="C36" s="23" t="inlineStr">
        <is>
          <t>Joint</t>
        </is>
      </c>
      <c r="D36" s="24" t="n">
        <v>46314</v>
      </c>
      <c r="E36" s="24" t="n">
        <v>46332</v>
      </c>
      <c r="F36" s="21">
        <f>NETWORKDAYS(D36,E36,Inputs!$A$16:$A$21)</f>
        <v/>
      </c>
      <c r="G36" s="25" t="n">
        <v>0</v>
      </c>
      <c r="H36" s="21">
        <f>IF(G36&gt;=1,"Complete",IF(E36&lt;Inputs!$B$7,"Late",IF(G36&gt;0,"In Progress",IF(D36&lt;=Inputs!$B$7,"Late Start","Not Started"))))</f>
        <v/>
      </c>
      <c r="I36" s="23" t="inlineStr">
        <is>
          <t>5.3</t>
        </is>
      </c>
      <c r="J36" s="26" t="inlineStr">
        <is>
          <t>Cleanup change records</t>
        </is>
      </c>
      <c r="K36" s="26" t="inlineStr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</row>
    <row r="37">
      <c r="A37" s="21" t="inlineStr">
        <is>
          <t>6.2</t>
        </is>
      </c>
      <c r="B37" s="22" t="inlineStr">
        <is>
          <t>Software / firmware upgrades &amp; EoL/EoS hardware remediation</t>
        </is>
      </c>
      <c r="C37" s="23" t="inlineStr">
        <is>
          <t>Joint</t>
        </is>
      </c>
      <c r="D37" s="24" t="n">
        <v>46321</v>
      </c>
      <c r="E37" s="24" t="n">
        <v>46346</v>
      </c>
      <c r="F37" s="21">
        <f>NETWORKDAYS(D37,E37,Inputs!$A$16:$A$21)</f>
        <v/>
      </c>
      <c r="G37" s="25" t="n">
        <v>0</v>
      </c>
      <c r="H37" s="21">
        <f>IF(G37&gt;=1,"Complete",IF(E37&lt;Inputs!$B$7,"Late",IF(G37&gt;0,"In Progress",IF(D37&lt;=Inputs!$B$7,"Late Start","Not Started"))))</f>
        <v/>
      </c>
      <c r="I37" s="23" t="inlineStr">
        <is>
          <t>5.3</t>
        </is>
      </c>
      <c r="J37" s="26" t="inlineStr">
        <is>
          <t>Upgrade change records</t>
        </is>
      </c>
      <c r="K37" s="26" t="inlineStr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</row>
    <row r="38">
      <c r="A38" s="21" t="inlineStr">
        <is>
          <t>6.3</t>
        </is>
      </c>
      <c r="B38" s="22" t="inlineStr">
        <is>
          <t>Logging, SIEM integration &amp; monitoring / alerting tuning</t>
        </is>
      </c>
      <c r="C38" s="23" t="inlineStr">
        <is>
          <t>Consultant</t>
        </is>
      </c>
      <c r="D38" s="24" t="n">
        <v>46321</v>
      </c>
      <c r="E38" s="24" t="n">
        <v>46339</v>
      </c>
      <c r="F38" s="21">
        <f>NETWORKDAYS(D38,E38,Inputs!$A$16:$A$21)</f>
        <v/>
      </c>
      <c r="G38" s="25" t="n">
        <v>0</v>
      </c>
      <c r="H38" s="21">
        <f>IF(G38&gt;=1,"Complete",IF(E38&lt;Inputs!$B$7,"Late",IF(G38&gt;0,"In Progress",IF(D38&lt;=Inputs!$B$7,"Late Start","Not Started"))))</f>
        <v/>
      </c>
      <c r="I38" s="23" t="inlineStr">
        <is>
          <t>5.3</t>
        </is>
      </c>
      <c r="J38" s="26" t="inlineStr"/>
      <c r="K38" s="26" t="inlineStr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</row>
    <row r="39">
      <c r="A39" s="21" t="inlineStr">
        <is>
          <t>6.4</t>
        </is>
      </c>
      <c r="B39" s="22" t="inlineStr">
        <is>
          <t>Enable NGFW security profiles (App-ID migration, User-ID, IPS, URL, sandboxing)</t>
        </is>
      </c>
      <c r="C39" s="23" t="inlineStr">
        <is>
          <t>Joint</t>
        </is>
      </c>
      <c r="D39" s="24" t="n">
        <v>46328</v>
      </c>
      <c r="E39" s="24" t="n">
        <v>46360</v>
      </c>
      <c r="F39" s="21">
        <f>NETWORKDAYS(D39,E39,Inputs!$A$16:$A$21)</f>
        <v/>
      </c>
      <c r="G39" s="25" t="n">
        <v>0</v>
      </c>
      <c r="H39" s="21">
        <f>IF(G39&gt;=1,"Complete",IF(E39&lt;Inputs!$B$7,"Late",IF(G39&gt;0,"In Progress",IF(D39&lt;=Inputs!$B$7,"Late Start","Not Started"))))</f>
        <v/>
      </c>
      <c r="I39" s="23" t="inlineStr">
        <is>
          <t>6.1</t>
        </is>
      </c>
      <c r="J39" s="26" t="inlineStr"/>
      <c r="K39" s="26" t="inlineStr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</row>
    <row r="40">
      <c r="A40" s="21" t="inlineStr">
        <is>
          <t>6.5</t>
        </is>
      </c>
      <c r="B40" s="22" t="inlineStr">
        <is>
          <t>Segmentation &amp; zone redesign (zero trust alignment)</t>
        </is>
      </c>
      <c r="C40" s="23" t="inlineStr">
        <is>
          <t>Joint</t>
        </is>
      </c>
      <c r="D40" s="24" t="n">
        <v>46335</v>
      </c>
      <c r="E40" s="24" t="n">
        <v>46367</v>
      </c>
      <c r="F40" s="21">
        <f>NETWORKDAYS(D40,E40,Inputs!$A$16:$A$21)</f>
        <v/>
      </c>
      <c r="G40" s="25" t="n">
        <v>0</v>
      </c>
      <c r="H40" s="21">
        <f>IF(G40&gt;=1,"Complete",IF(E40&lt;Inputs!$B$7,"Late",IF(G40&gt;0,"In Progress",IF(D40&lt;=Inputs!$B$7,"Late Start","Not Started"))))</f>
        <v/>
      </c>
      <c r="I40" s="23" t="inlineStr">
        <is>
          <t>6.1</t>
        </is>
      </c>
      <c r="J40" s="26" t="inlineStr"/>
      <c r="K40" s="26" t="inlineStr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</row>
    <row r="41">
      <c r="A41" s="21" t="inlineStr">
        <is>
          <t>6.6</t>
        </is>
      </c>
      <c r="B41" s="22" t="inlineStr">
        <is>
          <t>Phased TLS/SSL decryption rollout</t>
        </is>
      </c>
      <c r="C41" s="23" t="inlineStr">
        <is>
          <t>Joint</t>
        </is>
      </c>
      <c r="D41" s="24" t="n">
        <v>46342</v>
      </c>
      <c r="E41" s="24" t="n">
        <v>46367</v>
      </c>
      <c r="F41" s="21">
        <f>NETWORKDAYS(D41,E41,Inputs!$A$16:$A$21)</f>
        <v/>
      </c>
      <c r="G41" s="25" t="n">
        <v>0</v>
      </c>
      <c r="H41" s="21">
        <f>IF(G41&gt;=1,"Complete",IF(E41&lt;Inputs!$B$7,"Late",IF(G41&gt;0,"In Progress",IF(D41&lt;=Inputs!$B$7,"Late Start","Not Started"))))</f>
        <v/>
      </c>
      <c r="I41" s="23" t="inlineStr">
        <is>
          <t>6.4</t>
        </is>
      </c>
      <c r="J41" s="26" t="inlineStr"/>
      <c r="K41" s="26" t="inlineStr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</row>
    <row r="42">
      <c r="A42" s="21" t="inlineStr">
        <is>
          <t>6.7</t>
        </is>
      </c>
      <c r="B42" s="22" t="inlineStr">
        <is>
          <t>Policy lifecycle, change process &amp; automation (policy-as-code, reviews)</t>
        </is>
      </c>
      <c r="C42" s="23" t="inlineStr">
        <is>
          <t>Consultant</t>
        </is>
      </c>
      <c r="D42" s="24" t="n">
        <v>46328</v>
      </c>
      <c r="E42" s="24" t="n">
        <v>46360</v>
      </c>
      <c r="F42" s="21">
        <f>NETWORKDAYS(D42,E42,Inputs!$A$16:$A$21)</f>
        <v/>
      </c>
      <c r="G42" s="25" t="n">
        <v>0</v>
      </c>
      <c r="H42" s="21">
        <f>IF(G42&gt;=1,"Complete",IF(E42&lt;Inputs!$B$7,"Late",IF(G42&gt;0,"In Progress",IF(D42&lt;=Inputs!$B$7,"Late Start","Not Started"))))</f>
        <v/>
      </c>
      <c r="I42" s="23" t="inlineStr">
        <is>
          <t>5.3</t>
        </is>
      </c>
      <c r="J42" s="26" t="inlineStr">
        <is>
          <t>Updated process docs</t>
        </is>
      </c>
      <c r="K42" s="26" t="inlineStr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</row>
    <row r="43">
      <c r="A43" s="27" t="inlineStr">
        <is>
          <t>6.8</t>
        </is>
      </c>
      <c r="B43" s="33" t="inlineStr">
        <is>
          <t>Milestone: Horizon 1 remediation complete</t>
        </is>
      </c>
      <c r="C43" s="29" t="inlineStr">
        <is>
          <t>Joint</t>
        </is>
      </c>
      <c r="D43" s="30" t="n">
        <v>46374</v>
      </c>
      <c r="E43" s="30" t="n">
        <v>46374</v>
      </c>
      <c r="F43" s="27">
        <f>NETWORKDAYS(D43,E43,Inputs!$A$16:$A$21)</f>
        <v/>
      </c>
      <c r="G43" s="31" t="n">
        <v>0</v>
      </c>
      <c r="H43" s="27">
        <f>IF(G43&gt;=1,"Complete",IF(E43&lt;Inputs!$B$7,"Late",IF(G43&gt;0,"In Progress",IF(D43&lt;=Inputs!$B$7,"Late Start","Not Started"))))</f>
        <v/>
      </c>
      <c r="I43" s="29" t="inlineStr">
        <is>
          <t>6.6</t>
        </is>
      </c>
      <c r="J43" s="32" t="inlineStr"/>
      <c r="K43" s="32" t="inlineStr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</row>
    <row r="44">
      <c r="A44" s="17" t="inlineStr">
        <is>
          <t>7</t>
        </is>
      </c>
      <c r="B44" s="3" t="inlineStr">
        <is>
          <t>Phase 7 – Validation &amp; Closeout</t>
        </is>
      </c>
      <c r="C44" s="17" t="inlineStr"/>
      <c r="D44" s="18">
        <f>MIN(D45:D49)</f>
        <v/>
      </c>
      <c r="E44" s="18">
        <f>MAX(E45:E49)</f>
        <v/>
      </c>
      <c r="F44" s="17">
        <f>NETWORKDAYS(D44,E44,Inputs!$A$16:$A$21)</f>
        <v/>
      </c>
      <c r="G44" s="19">
        <f>IFERROR(SUMPRODUCT(F45:F49,G45:G49)/SUM(F45:F49),0)</f>
        <v/>
      </c>
      <c r="H44" s="17">
        <f>IF(G44&gt;=1,"Complete",IF(G44&gt;0,"In Progress","Not Started"))</f>
        <v/>
      </c>
      <c r="I44" s="17" t="n"/>
      <c r="J44" s="3" t="n"/>
      <c r="K44" s="3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</row>
    <row r="45">
      <c r="A45" s="21" t="inlineStr">
        <is>
          <t>7.1</t>
        </is>
      </c>
      <c r="B45" s="22" t="inlineStr">
        <is>
          <t>Post-remediation validation, testing &amp; maturity re-score</t>
        </is>
      </c>
      <c r="C45" s="23" t="inlineStr">
        <is>
          <t>Consultant</t>
        </is>
      </c>
      <c r="D45" s="24" t="n">
        <v>46370</v>
      </c>
      <c r="E45" s="24" t="n">
        <v>46374</v>
      </c>
      <c r="F45" s="21">
        <f>NETWORKDAYS(D45,E45,Inputs!$A$16:$A$21)</f>
        <v/>
      </c>
      <c r="G45" s="25" t="n">
        <v>0</v>
      </c>
      <c r="H45" s="21">
        <f>IF(G45&gt;=1,"Complete",IF(E45&lt;Inputs!$B$7,"Late",IF(G45&gt;0,"In Progress",IF(D45&lt;=Inputs!$B$7,"Late Start","Not Started"))))</f>
        <v/>
      </c>
      <c r="I45" s="23" t="inlineStr">
        <is>
          <t>6.5</t>
        </is>
      </c>
      <c r="J45" s="26" t="inlineStr">
        <is>
          <t>Validation results</t>
        </is>
      </c>
      <c r="K45" s="26" t="inlineStr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</row>
    <row r="46">
      <c r="A46" s="27" t="inlineStr">
        <is>
          <t>7.2</t>
        </is>
      </c>
      <c r="B46" s="28" t="inlineStr">
        <is>
          <t>DELIVERABLE: Post-Remediation Report &amp; as-built architecture</t>
        </is>
      </c>
      <c r="C46" s="29" t="inlineStr">
        <is>
          <t>Consultant</t>
        </is>
      </c>
      <c r="D46" s="30" t="n">
        <v>46372</v>
      </c>
      <c r="E46" s="30" t="n">
        <v>46378</v>
      </c>
      <c r="F46" s="27">
        <f>NETWORKDAYS(D46,E46,Inputs!$A$16:$A$21)</f>
        <v/>
      </c>
      <c r="G46" s="31" t="n">
        <v>0</v>
      </c>
      <c r="H46" s="27">
        <f>IF(G46&gt;=1,"Complete",IF(E46&lt;Inputs!$B$7,"Late",IF(G46&gt;0,"In Progress",IF(D46&lt;=Inputs!$B$7,"Late Start","Not Started"))))</f>
        <v/>
      </c>
      <c r="I46" s="29" t="inlineStr">
        <is>
          <t>7.1</t>
        </is>
      </c>
      <c r="J46" s="32" t="inlineStr">
        <is>
          <t>D5 – Post-Remediation Report</t>
        </is>
      </c>
      <c r="K46" s="32" t="inlineStr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</row>
    <row r="47">
      <c r="A47" s="21" t="inlineStr">
        <is>
          <t>7.3</t>
        </is>
      </c>
      <c r="B47" s="22" t="inlineStr">
        <is>
          <t>Knowledge transfer, runbooks &amp; handover</t>
        </is>
      </c>
      <c r="C47" s="23" t="inlineStr">
        <is>
          <t>Consultant</t>
        </is>
      </c>
      <c r="D47" s="24" t="n">
        <v>46377</v>
      </c>
      <c r="E47" s="24" t="n">
        <v>46379</v>
      </c>
      <c r="F47" s="21">
        <f>NETWORKDAYS(D47,E47,Inputs!$A$16:$A$21)</f>
        <v/>
      </c>
      <c r="G47" s="25" t="n">
        <v>0</v>
      </c>
      <c r="H47" s="21">
        <f>IF(G47&gt;=1,"Complete",IF(E47&lt;Inputs!$B$7,"Late",IF(G47&gt;0,"In Progress",IF(D47&lt;=Inputs!$B$7,"Late Start","Not Started"))))</f>
        <v/>
      </c>
      <c r="I47" s="23" t="inlineStr">
        <is>
          <t>7.2</t>
        </is>
      </c>
      <c r="J47" s="26" t="inlineStr">
        <is>
          <t>Handover package</t>
        </is>
      </c>
      <c r="K47" s="26" t="inlineStr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20" t="n"/>
      <c r="X47" s="20" t="n"/>
      <c r="Y47" s="20" t="n"/>
      <c r="Z47" s="20" t="n"/>
      <c r="AA47" s="20" t="n"/>
    </row>
    <row r="48">
      <c r="A48" s="21" t="inlineStr">
        <is>
          <t>7.4</t>
        </is>
      </c>
      <c r="B48" s="22" t="inlineStr">
        <is>
          <t>Final status report &amp; closeout</t>
        </is>
      </c>
      <c r="C48" s="23" t="inlineStr">
        <is>
          <t>Consultant</t>
        </is>
      </c>
      <c r="D48" s="24" t="n">
        <v>46384</v>
      </c>
      <c r="E48" s="24" t="n">
        <v>46386</v>
      </c>
      <c r="F48" s="21">
        <f>NETWORKDAYS(D48,E48,Inputs!$A$16:$A$21)</f>
        <v/>
      </c>
      <c r="G48" s="25" t="n">
        <v>0</v>
      </c>
      <c r="H48" s="21">
        <f>IF(G48&gt;=1,"Complete",IF(E48&lt;Inputs!$B$7,"Late",IF(G48&gt;0,"In Progress",IF(D48&lt;=Inputs!$B$7,"Late Start","Not Started"))))</f>
        <v/>
      </c>
      <c r="I48" s="23" t="inlineStr">
        <is>
          <t>7.3</t>
        </is>
      </c>
      <c r="J48" s="26" t="inlineStr">
        <is>
          <t>Closeout report</t>
        </is>
      </c>
      <c r="K48" s="26" t="inlineStr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20" t="n"/>
      <c r="Z48" s="20" t="n"/>
      <c r="AA48" s="20" t="n"/>
    </row>
    <row r="49">
      <c r="A49" s="27" t="inlineStr">
        <is>
          <t>7.5</t>
        </is>
      </c>
      <c r="B49" s="33" t="inlineStr">
        <is>
          <t>Milestone: Project close</t>
        </is>
      </c>
      <c r="C49" s="29" t="inlineStr">
        <is>
          <t>Joint</t>
        </is>
      </c>
      <c r="D49" s="30" t="n">
        <v>46387</v>
      </c>
      <c r="E49" s="30" t="n">
        <v>46387</v>
      </c>
      <c r="F49" s="27">
        <f>NETWORKDAYS(D49,E49,Inputs!$A$16:$A$21)</f>
        <v/>
      </c>
      <c r="G49" s="31" t="n">
        <v>0</v>
      </c>
      <c r="H49" s="27">
        <f>IF(G49&gt;=1,"Complete",IF(E49&lt;Inputs!$B$7,"Late",IF(G49&gt;0,"In Progress",IF(D49&lt;=Inputs!$B$7,"Late Start","Not Started"))))</f>
        <v/>
      </c>
      <c r="I49" s="29" t="inlineStr">
        <is>
          <t>7.4</t>
        </is>
      </c>
      <c r="J49" s="32" t="inlineStr"/>
      <c r="K49" s="32" t="inlineStr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</row>
    <row r="51">
      <c r="A51" s="34" t="n"/>
      <c r="B51" s="35" t="inlineStr">
        <is>
          <t>OVERALL ENGAGEMENT</t>
        </is>
      </c>
      <c r="C51" s="34" t="n"/>
      <c r="D51" s="36">
        <f>MIN(D5:D49)</f>
        <v/>
      </c>
      <c r="E51" s="36">
        <f>MAX(E5:E49)</f>
        <v/>
      </c>
      <c r="F51" s="34">
        <f>NETWORKDAYS(D51,E51,Inputs!$A$16:$A$21)</f>
        <v/>
      </c>
      <c r="G51" s="37">
        <f>IFERROR((F5*G5+F10*G10+F17*G17+F23*G23+F27*G27+F31*G31+F35*G35+F44*G44)/(F5+F10+F17+F23+F27+F31+F35+F44),0)</f>
        <v/>
      </c>
      <c r="H51" s="34" t="n"/>
      <c r="I51" s="34" t="n"/>
      <c r="J51" s="34" t="n"/>
      <c r="K51" s="34" t="n"/>
    </row>
    <row r="53">
      <c r="B53" s="15" t="inlineStr">
        <is>
          <t>Gantt legend:</t>
        </is>
      </c>
    </row>
    <row r="54">
      <c r="B54" s="38" t="inlineStr">
        <is>
          <t>Phase</t>
        </is>
      </c>
      <c r="C54" s="39" t="n"/>
    </row>
    <row r="55">
      <c r="B55" s="38" t="inlineStr">
        <is>
          <t>Task</t>
        </is>
      </c>
      <c r="C55" s="40" t="n"/>
    </row>
    <row r="56">
      <c r="B56" s="38" t="inlineStr">
        <is>
          <t>Deliverable</t>
        </is>
      </c>
      <c r="C56" s="41" t="n"/>
    </row>
    <row r="57">
      <c r="B57" s="38" t="inlineStr">
        <is>
          <t>Milestone</t>
        </is>
      </c>
      <c r="C57" s="42" t="n"/>
    </row>
    <row r="58">
      <c r="B58" s="38" t="inlineStr">
        <is>
          <t>Current week (header)</t>
        </is>
      </c>
      <c r="C58" s="43" t="n"/>
    </row>
    <row r="60">
      <c r="B60" s="13" t="inlineStr">
        <is>
          <t>% Complete values reflect status as of Sep 28, 2026 (week 3) – update weekly.</t>
        </is>
      </c>
    </row>
  </sheetData>
  <conditionalFormatting sqref="L5:AA49">
    <cfRule type="expression" priority="1" dxfId="0">
      <formula>AND($D5&lt;=L$4+4,$E5&gt;=L$4,LEFT($B5,9)="Milestone")</formula>
    </cfRule>
    <cfRule type="expression" priority="2" dxfId="1">
      <formula>AND($D5&lt;=L$4+4,$E5&gt;=L$4,LEFT($B5,11)="DELIVERABLE")</formula>
    </cfRule>
    <cfRule type="expression" priority="3" dxfId="2">
      <formula>AND($D5&lt;=L$4+4,$E5&gt;=L$4,$C5="")</formula>
    </cfRule>
    <cfRule type="expression" priority="4" dxfId="3">
      <formula>AND($D5&lt;=L$4+4,$E5&gt;=L$4)</formula>
    </cfRule>
  </conditionalFormatting>
  <conditionalFormatting sqref="L4:AA4">
    <cfRule type="expression" priority="5" dxfId="4">
      <formula>AND(Inputs!$B$7&gt;=L$4,Inputs!$B$7&lt;=L$4+6)</formula>
    </cfRule>
  </conditionalFormatting>
  <conditionalFormatting sqref="H5:H49">
    <cfRule type="expression" priority="6" dxfId="5">
      <formula>$H5="Complete"</formula>
    </cfRule>
    <cfRule type="expression" priority="7" dxfId="6">
      <formula>$H5="In Progress"</formula>
    </cfRule>
    <cfRule type="expression" priority="8" dxfId="7">
      <formula>$H5="Late"</formula>
    </cfRule>
    <cfRule type="expression" priority="9" dxfId="8">
      <formula>$H5="Late Start"</formula>
    </cfRule>
  </conditionalFormatting>
  <conditionalFormatting sqref="G5:G49">
    <cfRule type="dataBar" priority="10">
      <dataBar>
        <cfvo type="num" val="0"/>
        <cfvo type="num" val="1"/>
        <color rgb="0063BE7B"/>
      </dataBar>
    </cfRule>
  </conditionalFormatting>
  <dataValidations count="2">
    <dataValidation sqref="G5:G49" showDropDown="0" showInputMessage="0" showErrorMessage="1" allowBlank="0" error="Enter 0%–100%" type="decimal" operator="between">
      <formula1>0</formula1>
      <formula2>1</formula2>
    </dataValidation>
    <dataValidation sqref="C5:C49" showDropDown="0" showInputMessage="0" showErrorMessage="0" allowBlank="0" type="list">
      <formula1>"Consultant,Client,Joint"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70" customWidth="1" min="3" max="3"/>
    <col width="20" customWidth="1" min="4" max="4"/>
    <col width="9" customWidth="1" min="5" max="5"/>
    <col width="13" customWidth="1" min="6" max="6"/>
    <col width="13" customWidth="1" min="7" max="7"/>
    <col width="22" customWidth="1" min="8" max="8"/>
    <col width="13" customWidth="1" min="9" max="9"/>
  </cols>
  <sheetData>
    <row r="1">
      <c r="A1" s="14" t="inlineStr">
        <is>
          <t>Engagement Deliverables</t>
        </is>
      </c>
    </row>
    <row r="3">
      <c r="A3" s="8" t="inlineStr">
        <is>
          <t>ID</t>
        </is>
      </c>
      <c r="B3" s="8" t="inlineStr">
        <is>
          <t>Deliverable</t>
        </is>
      </c>
      <c r="C3" s="8" t="inlineStr">
        <is>
          <t>Description / Key Contents</t>
        </is>
      </c>
      <c r="D3" s="8" t="inlineStr">
        <is>
          <t>Format</t>
        </is>
      </c>
      <c r="E3" s="8" t="inlineStr">
        <is>
          <t>Plan WBS</t>
        </is>
      </c>
      <c r="F3" s="8" t="inlineStr">
        <is>
          <t>Draft Due</t>
        </is>
      </c>
      <c r="G3" s="8" t="inlineStr">
        <is>
          <t>Final Due</t>
        </is>
      </c>
      <c r="H3" s="8" t="inlineStr">
        <is>
          <t>Client Approver</t>
        </is>
      </c>
      <c r="I3" s="8" t="inlineStr">
        <is>
          <t>Status</t>
        </is>
      </c>
    </row>
    <row r="4" ht="62" customHeight="1">
      <c r="A4" s="21" t="inlineStr">
        <is>
          <t>D1</t>
        </is>
      </c>
      <c r="B4" s="44" t="inlineStr">
        <is>
          <t>Firewall Estate Architecture</t>
        </is>
      </c>
      <c r="C4" s="45" t="inlineStr">
        <is>
          <t>Current-state inventory (platforms, versions, HA, licensing, EoL); logical &amp; physical topology; zones/segmentation; traffic flows; management plane &amp; integrations (SIEM, IdP, NAC, orchestration).</t>
        </is>
      </c>
      <c r="D4" s="26" t="inlineStr">
        <is>
          <t>Visio/PDF + Excel inventory</t>
        </is>
      </c>
      <c r="E4" s="21" t="inlineStr">
        <is>
          <t>1.6</t>
        </is>
      </c>
      <c r="F4" s="46">
        <f>WORKDAY('Project Plan'!E16,-1,Inputs!$A$16:$A$21)</f>
        <v/>
      </c>
      <c r="G4" s="47">
        <f>'Project Plan'!E16</f>
        <v/>
      </c>
      <c r="H4" s="48" t="inlineStr">
        <is>
          <t>Network Security Lead</t>
        </is>
      </c>
      <c r="I4" s="11">
        <f>'Project Plan'!H16</f>
        <v/>
      </c>
    </row>
    <row r="5" ht="62" customHeight="1">
      <c r="A5" s="21" t="inlineStr">
        <is>
          <t>D2</t>
        </is>
      </c>
      <c r="B5" s="44" t="inlineStr">
        <is>
          <t>Problem Areas &amp; Gaps Assessment</t>
        </is>
      </c>
      <c r="C5" s="45" t="inlineStr">
        <is>
          <t>Pain points from interviews; rulebase hygiene findings; NGFW feature-utilization gaps; lifecycle/capacity risks; process &amp; tooling gaps; maturity scorecard (current vs. target) with risk ratings.</t>
        </is>
      </c>
      <c r="D5" s="26" t="inlineStr">
        <is>
          <t>Word/PDF report</t>
        </is>
      </c>
      <c r="E5" s="21" t="inlineStr">
        <is>
          <t>2.5</t>
        </is>
      </c>
      <c r="F5" s="46">
        <f>WORKDAY('Project Plan'!E22,-1,Inputs!$A$16:$A$21)</f>
        <v/>
      </c>
      <c r="G5" s="47">
        <f>'Project Plan'!E22</f>
        <v/>
      </c>
      <c r="H5" s="48" t="inlineStr">
        <is>
          <t>CISO</t>
        </is>
      </c>
      <c r="I5" s="11">
        <f>'Project Plan'!H22</f>
        <v/>
      </c>
    </row>
    <row r="6" ht="62" customHeight="1">
      <c r="A6" s="21" t="inlineStr">
        <is>
          <t>D3</t>
        </is>
      </c>
      <c r="B6" s="44" t="inlineStr">
        <is>
          <t>Modernization Roadmap</t>
        </is>
      </c>
      <c r="C6" s="45" t="inlineStr">
        <is>
          <t>Future-state vision &amp; target architecture; remediation initiatives mapped to gaps; prioritization; phased sequencing (0–3 / 3–12 / 12–24 mo); budget ranges, resourcing, KPIs.</t>
        </is>
      </c>
      <c r="D6" s="26" t="inlineStr">
        <is>
          <t>PowerPoint + Excel roadmap</t>
        </is>
      </c>
      <c r="E6" s="21" t="inlineStr">
        <is>
          <t>4.2</t>
        </is>
      </c>
      <c r="F6" s="46">
        <f>WORKDAY('Project Plan'!E29,-1,Inputs!$A$16:$A$21)</f>
        <v/>
      </c>
      <c r="G6" s="47">
        <f>'Project Plan'!E29</f>
        <v/>
      </c>
      <c r="H6" s="48" t="inlineStr">
        <is>
          <t>CISO</t>
        </is>
      </c>
      <c r="I6" s="11">
        <f>'Project Plan'!H29</f>
        <v/>
      </c>
    </row>
    <row r="7" ht="62" customHeight="1">
      <c r="A7" s="21" t="inlineStr">
        <is>
          <t>S1</t>
        </is>
      </c>
      <c r="B7" s="44" t="inlineStr">
        <is>
          <t>Executive Readout</t>
        </is>
      </c>
      <c r="C7" s="45" t="inlineStr">
        <is>
          <t>Presentation of D1, D2 and D3 to steering committee; approval to proceed with remediation.</t>
        </is>
      </c>
      <c r="D7" s="26" t="inlineStr">
        <is>
          <t>PowerPoint</t>
        </is>
      </c>
      <c r="E7" s="21" t="inlineStr">
        <is>
          <t>4.3</t>
        </is>
      </c>
      <c r="F7" s="46">
        <f>WORKDAY('Project Plan'!E30,-1,Inputs!$A$16:$A$21)</f>
        <v/>
      </c>
      <c r="G7" s="47">
        <f>'Project Plan'!E30</f>
        <v/>
      </c>
      <c r="H7" s="48" t="inlineStr">
        <is>
          <t>Executive Sponsor</t>
        </is>
      </c>
      <c r="I7" s="11">
        <f>'Project Plan'!H30</f>
        <v/>
      </c>
    </row>
    <row r="8" ht="62" customHeight="1">
      <c r="A8" s="21" t="inlineStr">
        <is>
          <t>D4</t>
        </is>
      </c>
      <c r="B8" s="44" t="inlineStr">
        <is>
          <t>Remediation Execution Plan</t>
        </is>
      </c>
      <c r="C8" s="45" t="inlineStr">
        <is>
          <t>Detailed work packages, change windows, CAB schedule, rollback and test plans for in-engagement remediation.</t>
        </is>
      </c>
      <c r="D8" s="26" t="inlineStr">
        <is>
          <t>Excel + Word</t>
        </is>
      </c>
      <c r="E8" s="21" t="inlineStr">
        <is>
          <t>5.1</t>
        </is>
      </c>
      <c r="F8" s="46">
        <f>WORKDAY('Project Plan'!E32,-1,Inputs!$A$16:$A$21)</f>
        <v/>
      </c>
      <c r="G8" s="47">
        <f>'Project Plan'!E32</f>
        <v/>
      </c>
      <c r="H8" s="48" t="inlineStr">
        <is>
          <t>Network Security Lead</t>
        </is>
      </c>
      <c r="I8" s="11">
        <f>'Project Plan'!H32</f>
        <v/>
      </c>
    </row>
    <row r="9" ht="62" customHeight="1">
      <c r="A9" s="21" t="inlineStr">
        <is>
          <t>D5</t>
        </is>
      </c>
      <c r="B9" s="44" t="inlineStr">
        <is>
          <t>Post-Remediation Report</t>
        </is>
      </c>
      <c r="C9" s="45" t="inlineStr">
        <is>
          <t>Validation results, maturity re-score vs. baseline, as-built architecture, remaining roadmap items.</t>
        </is>
      </c>
      <c r="D9" s="26" t="inlineStr">
        <is>
          <t>Word/PDF + Visio</t>
        </is>
      </c>
      <c r="E9" s="21" t="inlineStr">
        <is>
          <t>7.2</t>
        </is>
      </c>
      <c r="F9" s="46">
        <f>WORKDAY('Project Plan'!E46,-1,Inputs!$A$16:$A$21)</f>
        <v/>
      </c>
      <c r="G9" s="47">
        <f>'Project Plan'!E46</f>
        <v/>
      </c>
      <c r="H9" s="48" t="inlineStr">
        <is>
          <t>CISO</t>
        </is>
      </c>
      <c r="I9" s="11">
        <f>'Project Plan'!H46</f>
        <v/>
      </c>
    </row>
    <row r="11">
      <c r="A11" s="13" t="inlineStr">
        <is>
          <t>Draft Due = 1 working day before final (assumption: client review window). Green = linked to Project Plan.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18" customWidth="1" min="3" max="3"/>
    <col width="15" customWidth="1" min="4" max="4"/>
    <col width="13" customWidth="1" min="5" max="5"/>
  </cols>
  <sheetData>
    <row r="1">
      <c r="A1" s="14" t="inlineStr">
        <is>
          <t>Key Milestones</t>
        </is>
      </c>
    </row>
    <row r="3">
      <c r="A3" s="8" t="inlineStr">
        <is>
          <t>WBS</t>
        </is>
      </c>
      <c r="B3" s="8" t="inlineStr">
        <is>
          <t>Milestone</t>
        </is>
      </c>
      <c r="C3" s="8" t="inlineStr">
        <is>
          <t>Date</t>
        </is>
      </c>
      <c r="D3" s="8" t="inlineStr">
        <is>
          <t>Days from Today</t>
        </is>
      </c>
      <c r="E3" s="8" t="inlineStr">
        <is>
          <t>Status</t>
        </is>
      </c>
    </row>
    <row r="4">
      <c r="A4" s="21" t="inlineStr">
        <is>
          <t>0.2</t>
        </is>
      </c>
      <c r="B4" s="9">
        <f>'Project Plan'!B7</f>
        <v/>
      </c>
      <c r="C4" s="49">
        <f>'Project Plan'!E7</f>
        <v/>
      </c>
      <c r="D4" s="50">
        <f>C4-Inputs!$B$7</f>
        <v/>
      </c>
      <c r="E4" s="11">
        <f>'Project Plan'!H7</f>
        <v/>
      </c>
    </row>
    <row r="5">
      <c r="A5" s="21" t="inlineStr">
        <is>
          <t>1.6</t>
        </is>
      </c>
      <c r="B5" s="9">
        <f>'Project Plan'!B16</f>
        <v/>
      </c>
      <c r="C5" s="49">
        <f>'Project Plan'!E16</f>
        <v/>
      </c>
      <c r="D5" s="50">
        <f>C5-Inputs!$B$7</f>
        <v/>
      </c>
      <c r="E5" s="11">
        <f>'Project Plan'!H16</f>
        <v/>
      </c>
    </row>
    <row r="6">
      <c r="A6" s="21" t="inlineStr">
        <is>
          <t>2.5</t>
        </is>
      </c>
      <c r="B6" s="9">
        <f>'Project Plan'!B22</f>
        <v/>
      </c>
      <c r="C6" s="49">
        <f>'Project Plan'!E22</f>
        <v/>
      </c>
      <c r="D6" s="50">
        <f>C6-Inputs!$B$7</f>
        <v/>
      </c>
      <c r="E6" s="11">
        <f>'Project Plan'!H22</f>
        <v/>
      </c>
    </row>
    <row r="7">
      <c r="A7" s="21" t="inlineStr">
        <is>
          <t>4.2</t>
        </is>
      </c>
      <c r="B7" s="9">
        <f>'Project Plan'!B29</f>
        <v/>
      </c>
      <c r="C7" s="49">
        <f>'Project Plan'!E29</f>
        <v/>
      </c>
      <c r="D7" s="50">
        <f>C7-Inputs!$B$7</f>
        <v/>
      </c>
      <c r="E7" s="11">
        <f>'Project Plan'!H29</f>
        <v/>
      </c>
    </row>
    <row r="8">
      <c r="A8" s="21" t="inlineStr">
        <is>
          <t>4.3</t>
        </is>
      </c>
      <c r="B8" s="9">
        <f>'Project Plan'!B30</f>
        <v/>
      </c>
      <c r="C8" s="49">
        <f>'Project Plan'!E30</f>
        <v/>
      </c>
      <c r="D8" s="50">
        <f>C8-Inputs!$B$7</f>
        <v/>
      </c>
      <c r="E8" s="11">
        <f>'Project Plan'!H30</f>
        <v/>
      </c>
    </row>
    <row r="9">
      <c r="A9" s="21" t="inlineStr">
        <is>
          <t>5.3</t>
        </is>
      </c>
      <c r="B9" s="9">
        <f>'Project Plan'!B34</f>
        <v/>
      </c>
      <c r="C9" s="49">
        <f>'Project Plan'!E34</f>
        <v/>
      </c>
      <c r="D9" s="50">
        <f>C9-Inputs!$B$7</f>
        <v/>
      </c>
      <c r="E9" s="11">
        <f>'Project Plan'!H34</f>
        <v/>
      </c>
    </row>
    <row r="10">
      <c r="A10" s="21" t="inlineStr">
        <is>
          <t>6.8</t>
        </is>
      </c>
      <c r="B10" s="9">
        <f>'Project Plan'!B43</f>
        <v/>
      </c>
      <c r="C10" s="49">
        <f>'Project Plan'!E43</f>
        <v/>
      </c>
      <c r="D10" s="50">
        <f>C10-Inputs!$B$7</f>
        <v/>
      </c>
      <c r="E10" s="11">
        <f>'Project Plan'!H43</f>
        <v/>
      </c>
    </row>
    <row r="11">
      <c r="A11" s="21" t="inlineStr">
        <is>
          <t>7.2</t>
        </is>
      </c>
      <c r="B11" s="9">
        <f>'Project Plan'!B46</f>
        <v/>
      </c>
      <c r="C11" s="49">
        <f>'Project Plan'!E46</f>
        <v/>
      </c>
      <c r="D11" s="50">
        <f>C11-Inputs!$B$7</f>
        <v/>
      </c>
      <c r="E11" s="11">
        <f>'Project Plan'!H46</f>
        <v/>
      </c>
    </row>
    <row r="12">
      <c r="A12" s="21" t="inlineStr">
        <is>
          <t>7.5</t>
        </is>
      </c>
      <c r="B12" s="9">
        <f>'Project Plan'!B49</f>
        <v/>
      </c>
      <c r="C12" s="49">
        <f>'Project Plan'!E49</f>
        <v/>
      </c>
      <c r="D12" s="50">
        <f>C12-Inputs!$B$7</f>
        <v/>
      </c>
      <c r="E12" s="11">
        <f>'Project Plan'!H49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4" t="inlineStr">
        <is>
          <t>RACI Matrix</t>
        </is>
      </c>
    </row>
    <row r="3" ht="32" customHeight="1">
      <c r="A3" s="8" t="inlineStr">
        <is>
          <t>Activity</t>
        </is>
      </c>
      <c r="B3" s="8" t="inlineStr">
        <is>
          <t>Engagement Lead</t>
        </is>
      </c>
      <c r="C3" s="8" t="inlineStr">
        <is>
          <t>NGFW Architect</t>
        </is>
      </c>
      <c r="D3" s="8" t="inlineStr">
        <is>
          <t>Security Analyst</t>
        </is>
      </c>
      <c r="E3" s="8" t="inlineStr">
        <is>
          <t>Client Sponsor / CISO</t>
        </is>
      </c>
      <c r="F3" s="8" t="inlineStr">
        <is>
          <t>Client NetSec Team</t>
        </is>
      </c>
      <c r="G3" s="8" t="inlineStr">
        <is>
          <t>Client SecOps / GRC</t>
        </is>
      </c>
    </row>
    <row r="4">
      <c r="A4" s="51" t="inlineStr">
        <is>
          <t>Mobilization &amp; governance</t>
        </is>
      </c>
      <c r="B4" s="52" t="inlineStr">
        <is>
          <t>A</t>
        </is>
      </c>
      <c r="C4" s="53" t="inlineStr">
        <is>
          <t>C</t>
        </is>
      </c>
      <c r="D4" s="54" t="inlineStr">
        <is>
          <t>I</t>
        </is>
      </c>
      <c r="E4" s="55" t="inlineStr">
        <is>
          <t>R</t>
        </is>
      </c>
      <c r="F4" s="53" t="inlineStr">
        <is>
          <t>C</t>
        </is>
      </c>
      <c r="G4" s="54" t="inlineStr">
        <is>
          <t>I</t>
        </is>
      </c>
    </row>
    <row r="5">
      <c r="A5" s="51" t="inlineStr">
        <is>
          <t>Discovery &amp; data collection</t>
        </is>
      </c>
      <c r="B5" s="52" t="inlineStr">
        <is>
          <t>A</t>
        </is>
      </c>
      <c r="C5" s="55" t="inlineStr">
        <is>
          <t>R</t>
        </is>
      </c>
      <c r="D5" s="55" t="inlineStr">
        <is>
          <t>R</t>
        </is>
      </c>
      <c r="E5" s="54" t="inlineStr">
        <is>
          <t>I</t>
        </is>
      </c>
      <c r="F5" s="53" t="inlineStr">
        <is>
          <t>C</t>
        </is>
      </c>
      <c r="G5" s="53" t="inlineStr">
        <is>
          <t>C</t>
        </is>
      </c>
    </row>
    <row r="6">
      <c r="A6" s="51" t="inlineStr">
        <is>
          <t>D1 Firewall Estate Architecture</t>
        </is>
      </c>
      <c r="B6" s="52" t="inlineStr">
        <is>
          <t>A</t>
        </is>
      </c>
      <c r="C6" s="55" t="inlineStr">
        <is>
          <t>R</t>
        </is>
      </c>
      <c r="D6" s="53" t="inlineStr">
        <is>
          <t>C</t>
        </is>
      </c>
      <c r="E6" s="54" t="inlineStr">
        <is>
          <t>I</t>
        </is>
      </c>
      <c r="F6" s="53" t="inlineStr">
        <is>
          <t>C</t>
        </is>
      </c>
      <c r="G6" s="54" t="inlineStr">
        <is>
          <t>I</t>
        </is>
      </c>
    </row>
    <row r="7">
      <c r="A7" s="51" t="inlineStr">
        <is>
          <t>D2 Problem Areas &amp; Gaps Assessment</t>
        </is>
      </c>
      <c r="B7" s="52" t="inlineStr">
        <is>
          <t>A</t>
        </is>
      </c>
      <c r="C7" s="55" t="inlineStr">
        <is>
          <t>R</t>
        </is>
      </c>
      <c r="D7" s="55" t="inlineStr">
        <is>
          <t>R</t>
        </is>
      </c>
      <c r="E7" s="53" t="inlineStr">
        <is>
          <t>C</t>
        </is>
      </c>
      <c r="F7" s="53" t="inlineStr">
        <is>
          <t>C</t>
        </is>
      </c>
      <c r="G7" s="53" t="inlineStr">
        <is>
          <t>C</t>
        </is>
      </c>
    </row>
    <row r="8">
      <c r="A8" s="51" t="inlineStr">
        <is>
          <t>Future-state vision</t>
        </is>
      </c>
      <c r="B8" s="55" t="inlineStr">
        <is>
          <t>R</t>
        </is>
      </c>
      <c r="C8" s="55" t="inlineStr">
        <is>
          <t>R</t>
        </is>
      </c>
      <c r="D8" s="53" t="inlineStr">
        <is>
          <t>C</t>
        </is>
      </c>
      <c r="E8" s="52" t="inlineStr">
        <is>
          <t>A</t>
        </is>
      </c>
      <c r="F8" s="53" t="inlineStr">
        <is>
          <t>C</t>
        </is>
      </c>
      <c r="G8" s="53" t="inlineStr">
        <is>
          <t>C</t>
        </is>
      </c>
    </row>
    <row r="9">
      <c r="A9" s="51" t="inlineStr">
        <is>
          <t>D3 Modernization Roadmap</t>
        </is>
      </c>
      <c r="B9" s="52" t="inlineStr">
        <is>
          <t>A</t>
        </is>
      </c>
      <c r="C9" s="55" t="inlineStr">
        <is>
          <t>R</t>
        </is>
      </c>
      <c r="D9" s="53" t="inlineStr">
        <is>
          <t>C</t>
        </is>
      </c>
      <c r="E9" s="53" t="inlineStr">
        <is>
          <t>C</t>
        </is>
      </c>
      <c r="F9" s="53" t="inlineStr">
        <is>
          <t>C</t>
        </is>
      </c>
      <c r="G9" s="54" t="inlineStr">
        <is>
          <t>I</t>
        </is>
      </c>
    </row>
    <row r="10">
      <c r="A10" s="51" t="inlineStr">
        <is>
          <t>Executive readout (D1–D3)</t>
        </is>
      </c>
      <c r="B10" s="55" t="inlineStr">
        <is>
          <t>R</t>
        </is>
      </c>
      <c r="C10" s="53" t="inlineStr">
        <is>
          <t>C</t>
        </is>
      </c>
      <c r="D10" s="54" t="inlineStr">
        <is>
          <t>I</t>
        </is>
      </c>
      <c r="E10" s="52" t="inlineStr">
        <is>
          <t>A</t>
        </is>
      </c>
      <c r="F10" s="54" t="inlineStr">
        <is>
          <t>I</t>
        </is>
      </c>
      <c r="G10" s="54" t="inlineStr">
        <is>
          <t>I</t>
        </is>
      </c>
    </row>
    <row r="11">
      <c r="A11" s="51" t="inlineStr">
        <is>
          <t>D4 Remediation Execution Plan</t>
        </is>
      </c>
      <c r="B11" s="52" t="inlineStr">
        <is>
          <t>A</t>
        </is>
      </c>
      <c r="C11" s="55" t="inlineStr">
        <is>
          <t>R</t>
        </is>
      </c>
      <c r="D11" s="53" t="inlineStr">
        <is>
          <t>C</t>
        </is>
      </c>
      <c r="E11" s="53" t="inlineStr">
        <is>
          <t>C</t>
        </is>
      </c>
      <c r="F11" s="55" t="inlineStr">
        <is>
          <t>R</t>
        </is>
      </c>
      <c r="G11" s="53" t="inlineStr">
        <is>
          <t>C</t>
        </is>
      </c>
    </row>
    <row r="12">
      <c r="A12" s="51" t="inlineStr">
        <is>
          <t>Remediation execution &amp; change implementation</t>
        </is>
      </c>
      <c r="B12" s="52" t="inlineStr">
        <is>
          <t>A</t>
        </is>
      </c>
      <c r="C12" s="55" t="inlineStr">
        <is>
          <t>R</t>
        </is>
      </c>
      <c r="D12" s="55" t="inlineStr">
        <is>
          <t>R</t>
        </is>
      </c>
      <c r="E12" s="54" t="inlineStr">
        <is>
          <t>I</t>
        </is>
      </c>
      <c r="F12" s="55" t="inlineStr">
        <is>
          <t>R</t>
        </is>
      </c>
      <c r="G12" s="53" t="inlineStr">
        <is>
          <t>C</t>
        </is>
      </c>
    </row>
    <row r="13">
      <c r="A13" s="51" t="inlineStr">
        <is>
          <t>Validation &amp; D5 Post-Remediation Report</t>
        </is>
      </c>
      <c r="B13" s="52" t="inlineStr">
        <is>
          <t>A</t>
        </is>
      </c>
      <c r="C13" s="55" t="inlineStr">
        <is>
          <t>R</t>
        </is>
      </c>
      <c r="D13" s="55" t="inlineStr">
        <is>
          <t>R</t>
        </is>
      </c>
      <c r="E13" s="53" t="inlineStr">
        <is>
          <t>C</t>
        </is>
      </c>
      <c r="F13" s="53" t="inlineStr">
        <is>
          <t>C</t>
        </is>
      </c>
      <c r="G13" s="53" t="inlineStr">
        <is>
          <t>C</t>
        </is>
      </c>
    </row>
    <row r="15">
      <c r="A15" s="13" t="inlineStr">
        <is>
          <t>R = Responsible · A = Accountable · C = Consulted · I = Informed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8" customWidth="1" min="3" max="3"/>
    <col width="10" customWidth="1" min="4" max="4"/>
    <col width="11" customWidth="1" min="5" max="5"/>
    <col width="8" customWidth="1" min="6" max="6"/>
    <col width="10" customWidth="1" min="7" max="7"/>
    <col width="48" customWidth="1" min="8" max="8"/>
    <col width="16" customWidth="1" min="9" max="9"/>
    <col width="10" customWidth="1" min="10" max="10"/>
  </cols>
  <sheetData>
    <row r="1">
      <c r="A1" s="14" t="inlineStr">
        <is>
          <t>RAID – Risks &amp; Issues Log</t>
        </is>
      </c>
    </row>
    <row r="3" ht="30" customHeight="1">
      <c r="A3" s="8" t="inlineStr">
        <is>
          <t>ID</t>
        </is>
      </c>
      <c r="B3" s="8" t="inlineStr">
        <is>
          <t>Type</t>
        </is>
      </c>
      <c r="C3" s="8" t="inlineStr">
        <is>
          <t>Description</t>
        </is>
      </c>
      <c r="D3" s="8" t="inlineStr">
        <is>
          <t>Impact (1-5)</t>
        </is>
      </c>
      <c r="E3" s="8" t="inlineStr">
        <is>
          <t>Likelihood (1-5)</t>
        </is>
      </c>
      <c r="F3" s="8" t="inlineStr">
        <is>
          <t>Score</t>
        </is>
      </c>
      <c r="G3" s="8" t="inlineStr">
        <is>
          <t>Rating</t>
        </is>
      </c>
      <c r="H3" s="8" t="inlineStr">
        <is>
          <t>Mitigation</t>
        </is>
      </c>
      <c r="I3" s="8" t="inlineStr">
        <is>
          <t>Owner</t>
        </is>
      </c>
      <c r="J3" s="8" t="inlineStr">
        <is>
          <t>Status</t>
        </is>
      </c>
    </row>
    <row r="4" ht="30" customHeight="1">
      <c r="A4" s="21" t="inlineStr">
        <is>
          <t>R1</t>
        </is>
      </c>
      <c r="B4" s="23" t="inlineStr">
        <is>
          <t>Risk</t>
        </is>
      </c>
      <c r="C4" s="26" t="inlineStr">
        <is>
          <t>Delayed access to firewall configs / management consoles</t>
        </is>
      </c>
      <c r="D4" s="23" t="n">
        <v>4</v>
      </c>
      <c r="E4" s="23" t="n">
        <v>3</v>
      </c>
      <c r="F4" s="21">
        <f>D4*E4</f>
        <v/>
      </c>
      <c r="G4" s="21">
        <f>IF(F4&gt;=15,"High",IF(F4&gt;=8,"Medium","Low"))</f>
        <v/>
      </c>
      <c r="H4" s="26" t="inlineStr">
        <is>
          <t>Escalate via sponsor at kickoff; track in data request log</t>
        </is>
      </c>
      <c r="I4" s="48" t="inlineStr">
        <is>
          <t>Client</t>
        </is>
      </c>
      <c r="J4" s="23" t="inlineStr">
        <is>
          <t>Open</t>
        </is>
      </c>
    </row>
    <row r="5" ht="30" customHeight="1">
      <c r="A5" s="21" t="inlineStr">
        <is>
          <t>R2</t>
        </is>
      </c>
      <c r="B5" s="23" t="inlineStr">
        <is>
          <t>Risk</t>
        </is>
      </c>
      <c r="C5" s="26" t="inlineStr">
        <is>
          <t>Stakeholder availability for interviews/workshops</t>
        </is>
      </c>
      <c r="D5" s="23" t="n">
        <v>3</v>
      </c>
      <c r="E5" s="23" t="n">
        <v>3</v>
      </c>
      <c r="F5" s="21">
        <f>D5*E5</f>
        <v/>
      </c>
      <c r="G5" s="21">
        <f>IF(F5&gt;=15,"High",IF(F5&gt;=8,"Medium","Low"))</f>
        <v/>
      </c>
      <c r="H5" s="26" t="inlineStr">
        <is>
          <t>Schedule all sessions in first 2 weeks; offer async questionnaires</t>
        </is>
      </c>
      <c r="I5" s="48" t="inlineStr">
        <is>
          <t>Engagement Lead</t>
        </is>
      </c>
      <c r="J5" s="23" t="inlineStr">
        <is>
          <t>Open</t>
        </is>
      </c>
    </row>
    <row r="6" ht="30" customHeight="1">
      <c r="A6" s="21" t="inlineStr">
        <is>
          <t>R3</t>
        </is>
      </c>
      <c r="B6" s="23" t="inlineStr">
        <is>
          <t>Risk</t>
        </is>
      </c>
      <c r="C6" s="26" t="inlineStr">
        <is>
          <t>Compressed 4-week assessment limits review time for D1–D3</t>
        </is>
      </c>
      <c r="D6" s="23" t="n">
        <v>4</v>
      </c>
      <c r="E6" s="23" t="n">
        <v>3</v>
      </c>
      <c r="F6" s="21">
        <f>D6*E6</f>
        <v/>
      </c>
      <c r="G6" s="21">
        <f>IF(F6&gt;=15,"High",IF(F6&gt;=8,"Medium","Low"))</f>
        <v/>
      </c>
      <c r="H6" s="26" t="inlineStr">
        <is>
          <t>Daily working sessions; pre-schedule readout for Oct 9; drafts shared incrementally</t>
        </is>
      </c>
      <c r="I6" s="48" t="inlineStr">
        <is>
          <t>Engagement Lead</t>
        </is>
      </c>
      <c r="J6" s="23" t="inlineStr">
        <is>
          <t>Open</t>
        </is>
      </c>
    </row>
    <row r="7" ht="30" customHeight="1">
      <c r="A7" s="21" t="inlineStr">
        <is>
          <t>R4</t>
        </is>
      </c>
      <c r="B7" s="23" t="inlineStr">
        <is>
          <t>Risk</t>
        </is>
      </c>
      <c r="C7" s="26" t="inlineStr">
        <is>
          <t>Remediation changes cause outages or business disruption</t>
        </is>
      </c>
      <c r="D7" s="23" t="n">
        <v>5</v>
      </c>
      <c r="E7" s="23" t="n">
        <v>2</v>
      </c>
      <c r="F7" s="21">
        <f>D7*E7</f>
        <v/>
      </c>
      <c r="G7" s="21">
        <f>IF(F7&gt;=15,"High",IF(F7&gt;=8,"Medium","Low"))</f>
        <v/>
      </c>
      <c r="H7" s="26" t="inlineStr">
        <is>
          <t>CAB approval, maintenance windows, tested rollback, staged rollout</t>
        </is>
      </c>
      <c r="I7" s="48" t="inlineStr">
        <is>
          <t>NGFW Architect</t>
        </is>
      </c>
      <c r="J7" s="23" t="inlineStr">
        <is>
          <t>Open</t>
        </is>
      </c>
    </row>
    <row r="8" ht="30" customHeight="1">
      <c r="A8" s="21" t="inlineStr">
        <is>
          <t>R6</t>
        </is>
      </c>
      <c r="B8" s="23" t="inlineStr">
        <is>
          <t>Risk</t>
        </is>
      </c>
      <c r="C8" s="26" t="inlineStr">
        <is>
          <t>Limited change windows / holiday change freeze (late Nov, Dec)</t>
        </is>
      </c>
      <c r="D8" s="23" t="n">
        <v>4</v>
      </c>
      <c r="E8" s="23" t="n">
        <v>4</v>
      </c>
      <c r="F8" s="21">
        <f>D8*E8</f>
        <v/>
      </c>
      <c r="G8" s="21">
        <f>IF(F8&gt;=15,"High",IF(F8&gt;=8,"Medium","Low"))</f>
        <v/>
      </c>
      <c r="H8" s="26" t="inlineStr">
        <is>
          <t>Front-load high-impact changes Oct–mid Nov; confirm freeze dates</t>
        </is>
      </c>
      <c r="I8" s="48" t="inlineStr">
        <is>
          <t>Client</t>
        </is>
      </c>
      <c r="J8" s="23" t="inlineStr">
        <is>
          <t>Open</t>
        </is>
      </c>
    </row>
    <row r="9" ht="30" customHeight="1">
      <c r="A9" s="21" t="inlineStr">
        <is>
          <t>R5</t>
        </is>
      </c>
      <c r="B9" s="23" t="inlineStr">
        <is>
          <t>Risk</t>
        </is>
      </c>
      <c r="C9" s="26" t="inlineStr">
        <is>
          <t>Incomplete CMDB / undocumented firewalls (shadow estate)</t>
        </is>
      </c>
      <c r="D9" s="23" t="n">
        <v>3</v>
      </c>
      <c r="E9" s="23" t="n">
        <v>3</v>
      </c>
      <c r="F9" s="21">
        <f>D9*E9</f>
        <v/>
      </c>
      <c r="G9" s="21">
        <f>IF(F9&gt;=15,"High",IF(F9&gt;=8,"Medium","Low"))</f>
        <v/>
      </c>
      <c r="H9" s="26" t="inlineStr">
        <is>
          <t>Validate inventory against network scans &amp; routing tables</t>
        </is>
      </c>
      <c r="I9" s="48" t="inlineStr">
        <is>
          <t>NGFW Architect</t>
        </is>
      </c>
      <c r="J9" s="23" t="inlineStr">
        <is>
          <t>Open</t>
        </is>
      </c>
    </row>
    <row r="10" ht="30" customHeight="1">
      <c r="A10" s="21" t="inlineStr">
        <is>
          <t>I1</t>
        </is>
      </c>
      <c r="B10" s="23" t="inlineStr">
        <is>
          <t>Issue</t>
        </is>
      </c>
      <c r="C10" s="26" t="inlineStr">
        <is>
          <t>Config export for cloud firewalls pending security approval</t>
        </is>
      </c>
      <c r="D10" s="23" t="n">
        <v>3</v>
      </c>
      <c r="E10" s="23" t="n">
        <v>5</v>
      </c>
      <c r="F10" s="21">
        <f>D10*E10</f>
        <v/>
      </c>
      <c r="G10" s="21">
        <f>IF(F10&gt;=15,"High",IF(F10&gt;=8,"Medium","Low"))</f>
        <v/>
      </c>
      <c r="H10" s="26" t="inlineStr">
        <is>
          <t>Sponsor escalation requested</t>
        </is>
      </c>
      <c r="I10" s="48" t="inlineStr">
        <is>
          <t>Client</t>
        </is>
      </c>
      <c r="J10" s="23" t="inlineStr">
        <is>
          <t>Open</t>
        </is>
      </c>
    </row>
  </sheetData>
  <conditionalFormatting sqref="G4:G40">
    <cfRule type="expression" priority="1" dxfId="7">
      <formula>$G4="High"</formula>
    </cfRule>
    <cfRule type="expression" priority="2" dxfId="8">
      <formula>$G4="Medium"</formula>
    </cfRule>
    <cfRule type="expression" priority="3" dxfId="5">
      <formula>$G4="Low"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4" customWidth="1" min="1" max="1"/>
    <col width="58" customWidth="1" min="2" max="2"/>
  </cols>
  <sheetData>
    <row r="1">
      <c r="A1" s="14" t="inlineStr">
        <is>
          <t>NGFW Maturity Engagement – Project Inputs</t>
        </is>
      </c>
    </row>
    <row r="3">
      <c r="A3" s="3" t="inlineStr">
        <is>
          <t>Client</t>
        </is>
      </c>
      <c r="B3" s="56" t="inlineStr">
        <is>
          <t>Customer</t>
        </is>
      </c>
    </row>
    <row r="4">
      <c r="A4" s="3" t="inlineStr">
        <is>
          <t>Engagement</t>
        </is>
      </c>
      <c r="B4" s="56" t="inlineStr">
        <is>
          <t>Next-Generation Firewall (NGFW) Maturity Assessment</t>
        </is>
      </c>
    </row>
    <row r="5">
      <c r="A5" s="3" t="inlineStr">
        <is>
          <t>Project Start</t>
        </is>
      </c>
      <c r="B5" s="57" t="n">
        <v>46279</v>
      </c>
    </row>
    <row r="6">
      <c r="A6" s="3" t="inlineStr">
        <is>
          <t>Project End</t>
        </is>
      </c>
      <c r="B6" s="57" t="n">
        <v>46387</v>
      </c>
    </row>
    <row r="7">
      <c r="A7" s="3" t="inlineStr">
        <is>
          <t>Status Date (As-Of)</t>
        </is>
      </c>
      <c r="B7" s="58">
        <f>TODAY()</f>
        <v/>
      </c>
    </row>
    <row r="8">
      <c r="A8" s="3" t="inlineStr">
        <is>
          <t>Engagement Lead</t>
        </is>
      </c>
      <c r="B8" s="56" t="inlineStr">
        <is>
          <t>Engagement Lead</t>
        </is>
      </c>
    </row>
    <row r="9">
      <c r="A9" s="3" t="inlineStr">
        <is>
          <t>Client Sponsor</t>
        </is>
      </c>
      <c r="B9" s="56" t="inlineStr">
        <is>
          <t>CISO</t>
        </is>
      </c>
    </row>
    <row r="12">
      <c r="A12" s="59" t="inlineStr">
        <is>
          <t>Legend</t>
        </is>
      </c>
    </row>
    <row r="13">
      <c r="A13" s="56" t="inlineStr">
        <is>
          <t>Yellow fill / blue text</t>
        </is>
      </c>
      <c r="B13" s="51" t="inlineStr">
        <is>
          <t>Editable input (dates, owners, % complete, status notes)</t>
        </is>
      </c>
    </row>
    <row r="14">
      <c r="A14" s="51" t="inlineStr">
        <is>
          <t>Black text</t>
        </is>
      </c>
      <c r="B14" s="51" t="inlineStr">
        <is>
          <t>Formula – do not overwrite</t>
        </is>
      </c>
    </row>
    <row r="15">
      <c r="A15" s="59" t="inlineStr">
        <is>
          <t>Holidays (excluded from working days)</t>
        </is>
      </c>
    </row>
    <row r="16">
      <c r="A16" s="60" t="n">
        <v>46307</v>
      </c>
      <c r="B16" s="51" t="inlineStr">
        <is>
          <t>Columbus / Indigenous Peoples' Day</t>
        </is>
      </c>
    </row>
    <row r="17">
      <c r="A17" s="60" t="n">
        <v>46337</v>
      </c>
      <c r="B17" s="51" t="inlineStr">
        <is>
          <t>Veterans Day</t>
        </is>
      </c>
    </row>
    <row r="18">
      <c r="A18" s="60" t="n">
        <v>46352</v>
      </c>
      <c r="B18" s="51" t="inlineStr">
        <is>
          <t>Thanksgiving</t>
        </is>
      </c>
    </row>
    <row r="19">
      <c r="A19" s="60" t="n">
        <v>46353</v>
      </c>
      <c r="B19" s="51" t="inlineStr">
        <is>
          <t>Day after Thanksgiving</t>
        </is>
      </c>
    </row>
    <row r="20">
      <c r="A20" s="60" t="n">
        <v>46380</v>
      </c>
      <c r="B20" s="51" t="inlineStr">
        <is>
          <t>Christmas Eve</t>
        </is>
      </c>
    </row>
    <row r="21">
      <c r="A21" s="60" t="n">
        <v>46381</v>
      </c>
      <c r="B21" s="51" t="inlineStr">
        <is>
          <t>Christmas Day</t>
        </is>
      </c>
    </row>
    <row r="23">
      <c r="A23" s="13" t="inlineStr">
        <is>
          <t>Assumption: US holiday calendar; adjust to client calendar as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2026-09-28T07:17:12Z</dcterms:created>
  <dcterms:modified xsi:type="dcterms:W3CDTF">2026-09-28T07:17:13Z</dcterms:modified>
</cp:coreProperties>
</file>